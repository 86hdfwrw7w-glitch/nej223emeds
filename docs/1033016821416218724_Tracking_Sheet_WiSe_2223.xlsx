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E757F4BB-7F28-5B47-9D19-13BDB500ED7F}" xr6:coauthVersionLast="47" xr6:coauthVersionMax="47" xr10:uidLastSave="{00000000-0000-0000-0000-000000000000}"/>
  <bookViews>
    <workbookView xWindow="0" yWindow="500" windowWidth="35840" windowHeight="219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J4" i="7" l="1"/>
  <c r="EC4" i="7"/>
  <c r="DV4" i="7"/>
  <c r="DO4" i="7"/>
  <c r="DH4" i="7"/>
  <c r="K78" i="7" a="1"/>
  <c r="K78" i="7" s="1"/>
  <c r="J78" i="7" a="1"/>
  <c r="J78" i="7" s="1"/>
  <c r="I78" i="7"/>
  <c r="K77" i="7" a="1"/>
  <c r="K77" i="7" s="1"/>
  <c r="J77" i="7" a="1"/>
  <c r="J77" i="7" s="1"/>
  <c r="I77" i="7"/>
  <c r="K76" i="7"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71" i="7" a="1"/>
  <c r="K71" i="7" s="1"/>
  <c r="J71" i="7" a="1"/>
  <c r="J71" i="7" s="1"/>
  <c r="I71" i="7"/>
  <c r="K70" i="7" a="1"/>
  <c r="K70" i="7" s="1"/>
  <c r="J70" i="7" a="1"/>
  <c r="J70" i="7" s="1"/>
  <c r="I70" i="7"/>
  <c r="K69" i="7" a="1"/>
  <c r="K69" i="7" s="1"/>
  <c r="J69" i="7" a="1"/>
  <c r="J69" i="7" s="1"/>
  <c r="I69" i="7"/>
  <c r="AP68" i="7"/>
  <c r="AI68" i="7"/>
  <c r="AB68" i="7"/>
  <c r="U68" i="7"/>
  <c r="N68" i="7"/>
  <c r="G68"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AP56" i="7"/>
  <c r="AI56" i="7"/>
  <c r="AB56" i="7"/>
  <c r="U56" i="7"/>
  <c r="N56" i="7"/>
  <c r="G56" i="7"/>
  <c r="C11" i="10"/>
  <c r="DA4" i="7"/>
  <c r="CT4" i="7"/>
  <c r="CM4" i="7"/>
  <c r="CF4" i="7"/>
  <c r="BY4" i="7"/>
  <c r="BR4" i="7"/>
  <c r="C7" i="10"/>
  <c r="K15" i="7" a="1"/>
  <c r="K15" i="7" s="1"/>
  <c r="J15" i="7" a="1"/>
  <c r="J15" i="7" s="1"/>
  <c r="I15" i="7"/>
  <c r="K14" i="7" a="1"/>
  <c r="K14" i="7" s="1"/>
  <c r="J14" i="7" a="1"/>
  <c r="J14" i="7" s="1"/>
  <c r="I14"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AP44" i="7"/>
  <c r="AI44" i="7"/>
  <c r="AB44" i="7"/>
  <c r="U44" i="7"/>
  <c r="N44" i="7"/>
  <c r="G44"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AP35" i="7"/>
  <c r="AI35" i="7"/>
  <c r="AB35" i="7"/>
  <c r="U35" i="7"/>
  <c r="N35" i="7"/>
  <c r="G35" i="7"/>
  <c r="BK4" i="7"/>
  <c r="C12" i="10"/>
  <c r="K20" i="7" a="1"/>
  <c r="K20" i="7" s="1"/>
  <c r="J20" i="7" a="1"/>
  <c r="J20" i="7" s="1"/>
  <c r="K19" i="7" a="1"/>
  <c r="K19" i="7" s="1"/>
  <c r="J19" i="7" a="1"/>
  <c r="J19" i="7" s="1"/>
  <c r="K18" i="7" a="1"/>
  <c r="K18" i="7" s="1"/>
  <c r="J18" i="7" a="1"/>
  <c r="J18" i="7" s="1"/>
  <c r="K17" i="7" a="1"/>
  <c r="K17" i="7" s="1"/>
  <c r="J17" i="7" a="1"/>
  <c r="J17" i="7" s="1"/>
  <c r="K16" i="7" a="1"/>
  <c r="K16" i="7" s="1"/>
  <c r="J16" i="7" a="1"/>
  <c r="J16" i="7" s="1"/>
  <c r="K13" i="7" a="1"/>
  <c r="K13" i="7" s="1"/>
  <c r="J13" i="7" a="1"/>
  <c r="J13"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24" i="7" a="1"/>
  <c r="K24" i="7" s="1"/>
  <c r="J24" i="7" a="1"/>
  <c r="J24" i="7" s="1"/>
  <c r="K23" i="7" a="1"/>
  <c r="K23" i="7" s="1"/>
  <c r="J23" i="7" a="1"/>
  <c r="J23"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2" i="7"/>
  <c r="AI12" i="7"/>
  <c r="AB12" i="7"/>
  <c r="U12" i="7"/>
  <c r="BD4" i="7"/>
  <c r="AW4" i="7"/>
  <c r="AP4" i="7"/>
  <c r="AI4" i="7"/>
  <c r="AB4" i="7"/>
  <c r="U4" i="7"/>
  <c r="G4" i="7"/>
  <c r="AP22" i="7"/>
  <c r="AI22" i="7"/>
  <c r="AB22" i="7"/>
  <c r="U22" i="7"/>
  <c r="I33" i="7"/>
  <c r="I32" i="7"/>
  <c r="I31" i="7"/>
  <c r="I30" i="7"/>
  <c r="I29" i="7"/>
  <c r="I28" i="7"/>
  <c r="I27" i="7"/>
  <c r="I26" i="7"/>
  <c r="I25" i="7"/>
  <c r="I24" i="7"/>
  <c r="I23" i="7"/>
  <c r="I20" i="7"/>
  <c r="I19" i="7"/>
  <c r="I18" i="7"/>
  <c r="I17" i="7"/>
  <c r="I16" i="7"/>
  <c r="I13" i="7"/>
  <c r="I6" i="7"/>
  <c r="I7" i="7"/>
  <c r="I8" i="7"/>
  <c r="I9" i="7"/>
  <c r="I10" i="7"/>
  <c r="I5" i="7"/>
  <c r="N22" i="7"/>
  <c r="G22" i="7"/>
  <c r="G12" i="7"/>
  <c r="I56" i="7" l="1"/>
  <c r="K56" i="7"/>
  <c r="I68" i="7"/>
  <c r="J68" i="7"/>
  <c r="K68" i="7"/>
  <c r="J56" i="7"/>
  <c r="I44" i="7"/>
  <c r="I35" i="7"/>
  <c r="J44" i="7"/>
  <c r="K44" i="7"/>
  <c r="K35" i="7"/>
  <c r="J35" i="7"/>
  <c r="I22" i="7"/>
  <c r="J22" i="7"/>
  <c r="K22" i="7"/>
  <c r="J12" i="7"/>
  <c r="K12" i="7"/>
  <c r="K4" i="7"/>
  <c r="J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<sst xmlns="http://schemas.openxmlformats.org/spreadsheetml/2006/main" count="434" uniqueCount="136">
  <si>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</si>
  <si>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</si>
  <si>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</si>
  <si>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</si>
  <si>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</si>
  <si>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</si>
  <si>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</si>
  <si>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</si>
  <si>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</si>
  <si>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</si>
  <si>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</si>
  <si>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</si>
  <si>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</si>
  <si>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</si>
  <si>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</si>
  <si>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</si>
  <si>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</si>
  <si>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</si>
  <si>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</si>
  <si>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</si>
  <si>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</si>
  <si>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</si>
  <si>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</si>
  <si>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</si>
  <si>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</si>
  <si>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</si>
  <si>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</si>
  <si>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</si>
  <si>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</si>
  <si>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</si>
  <si>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</si>
  <si>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</si>
  <si>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</si>
  <si>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</si>
  <si>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</si>
  <si>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</si>
  <si>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</si>
  <si>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</si>
  <si>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</si>
  <si>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</si>
  <si>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</si>
  <si>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</si>
  <si>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</si>
  <si>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</si>
  <si>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</si>
  <si>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</si>
  <si>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</si>
  <si>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</si>
  <si>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</si>
  <si>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</si>
  <si>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</si>
  <si>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Finanzen 1</t>
  </si>
  <si>
    <t>2) Der perfekte Markt</t>
  </si>
  <si>
    <t>3) Marktevaulierung</t>
  </si>
  <si>
    <t>4) CAPM</t>
  </si>
  <si>
    <t>5) Firmenbewertung</t>
  </si>
  <si>
    <t>6) DCF</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</si>
  <si>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</si>
  <si>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</si>
  <si>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</si>
  <si>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</si>
  <si>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</si>
  <si>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</si>
  <si>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</si>
  <si>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</si>
  <si>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</si>
  <si>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</si>
  <si>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</si>
  <si>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</si>
  <si>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</si>
  <si>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</si>
  <si>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</si>
  <si>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</si>
  <si>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</si>
  <si>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</si>
  <si>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</si>
  <si>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</si>
  <si>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</si>
  <si>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</si>
  <si>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</si>
  <si>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</si>
  <si>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</si>
  <si>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</si>
  <si>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</si>
  <si>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</si>
  <si>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</si>
  <si>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</si>
  <si>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</si>
  <si>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</si>
  <si>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</si>
  <si>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</si>
  <si>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</si>
  <si>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</si>
  <si>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</si>
  <si>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</si>
  <si>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</si>
  <si>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</si>
  <si>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</si>
  <si>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</si>
  <si>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</si>
  <si>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</si>
  <si>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</si>
  <si>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</si>
  <si>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</si>
  <si>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</si>
  <si>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</si>
  <si>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Ethik</t>
  </si>
  <si>
    <t>2) Ethik in der Vergangenheit</t>
  </si>
  <si>
    <t>Accounting 2</t>
  </si>
  <si>
    <t>EMS</t>
  </si>
  <si>
    <t>BEL</t>
  </si>
  <si>
    <t>IFM</t>
  </si>
  <si>
    <t>EEW</t>
  </si>
  <si>
    <t>GL Bau</t>
  </si>
  <si>
    <t>AW Bau</t>
  </si>
  <si>
    <t>TM3</t>
  </si>
  <si>
    <t>Excel und Englisch nicht enthalten; Excel 5LP am 06.12.; Englisch 5LP als Referat</t>
  </si>
  <si>
    <t>Marketing noch dieses Semester belegen? 5LP am 07.02.23</t>
  </si>
  <si>
    <t>In manchen Modulen Skripte erst wochenweise verfügbar</t>
  </si>
  <si>
    <t>manche Module bestehen aus mehreren Skripten, parallel bearbeiten?</t>
  </si>
  <si>
    <t>KW 43</t>
  </si>
  <si>
    <t>KW 44</t>
  </si>
  <si>
    <t>KW 45</t>
  </si>
  <si>
    <t>KW 46</t>
  </si>
  <si>
    <t>KW 47</t>
  </si>
  <si>
    <t>KW 50</t>
  </si>
  <si>
    <t>KW 51 (Weihnachten)</t>
  </si>
  <si>
    <t>KW 52 (Neujahr)</t>
  </si>
  <si>
    <t>KW 1</t>
  </si>
  <si>
    <t>KW 2</t>
  </si>
  <si>
    <t>KW 3</t>
  </si>
  <si>
    <t>KW 4</t>
  </si>
  <si>
    <t>KW 5</t>
  </si>
  <si>
    <t>KW erweiterung haut nicht ganz hin. Brauche bis KW 9</t>
  </si>
  <si>
    <t>KW 48 (Klausur EMS)</t>
  </si>
  <si>
    <t>KW 49 (Klausuren BEL und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</si>
</sst>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423">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92">
  <autoFilter ref="A1:K46" xr:uid="{6E266E34-2786-2747-BCE7-51B74867A564}"/>
  <tableColumns count="11">
    <tableColumn id="1" xr3:uid="{95FD92F7-3DC8-704D-A103-A7EDDAB255AB}" name="Datum" dataDxfId="91"/>
    <tableColumn id="2" xr3:uid="{F464D510-8166-E740-A343-FB84BDEF877F}" name="Lerneinheiten durchgezogen" dataDxfId="90"/>
    <tableColumn id="3" xr3:uid="{75F52B08-1A00-0848-BBE6-1EDF7B31B1AD}" name="Tagesplan erstellt" dataDxfId="89"/>
    <tableColumn id="4" xr3:uid="{E6B18D89-E799-AD48-9DAA-37AEE1D29011}" name="Konzentrationslevel" dataDxfId="8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18" t="s">
        <v>90</v>
      </c>
    </row>
    <row r="3" spans="1:4" x14ac:dyDescent="0.2">
      <c r="C3" s="17" t="s">
        <v>75</v>
      </c>
    </row>
    <row r="4" spans="1:4" x14ac:dyDescent="0.2">
      <c r="C4" s="16" t="s">
        <v>89</v>
      </c>
    </row>
    <row r="5" spans="1:4" x14ac:dyDescent="0.2">
      <c r="A5" s="2" t="s">
        <v>72</v>
      </c>
      <c r="B5" s="2" t="s">
        <v>73</v>
      </c>
      <c r="C5" s="2" t="s">
        <v>74</v>
      </c>
      <c r="D5" s="2" t="s">
        <v>76</v>
      </c>
    </row>
    <row r="6" spans="1:4" x14ac:dyDescent="0.2">
      <c r="A6" t="s">
        <v>68</v>
      </c>
      <c r="B6" s="18" t="s">
        <v>71</v>
      </c>
      <c r="D6" t="s">
        <v>105</v>
      </c>
    </row>
    <row r="7" spans="1:4" x14ac:dyDescent="0.2">
      <c r="A7" t="s">
        <v>79</v>
      </c>
      <c r="B7" t="s">
        <v>80</v>
      </c>
      <c r="C7" s="16">
        <f>6+8+11+7+10</f>
        <v>42</v>
      </c>
    </row>
    <row r="8" spans="1:4" x14ac:dyDescent="0.2">
      <c r="A8" t="s">
        <v>70</v>
      </c>
      <c r="B8" s="18" t="s">
        <v>69</v>
      </c>
      <c r="D8" t="s">
        <v>93</v>
      </c>
    </row>
    <row r="9" spans="1:4" x14ac:dyDescent="0.2">
      <c r="A9" t="s">
        <v>78</v>
      </c>
      <c r="B9" s="18" t="s">
        <v>91</v>
      </c>
      <c r="D9" t="s">
        <v>94</v>
      </c>
    </row>
    <row r="10" spans="1:4" x14ac:dyDescent="0.2">
      <c r="A10" t="s">
        <v>82</v>
      </c>
      <c r="B10" t="s">
        <v>81</v>
      </c>
      <c r="C10" s="16">
        <v>10.5</v>
      </c>
      <c r="D10" t="s">
        <v>77</v>
      </c>
    </row>
    <row r="11" spans="1:4" x14ac:dyDescent="0.2">
      <c r="A11" t="s">
        <v>83</v>
      </c>
      <c r="B11" t="s">
        <v>85</v>
      </c>
      <c r="C11" s="16">
        <f>42*3</f>
        <v>126</v>
      </c>
      <c r="D11" t="s">
        <v>84</v>
      </c>
    </row>
    <row r="12" spans="1:4" x14ac:dyDescent="0.2">
      <c r="A12" t="s">
        <v>87</v>
      </c>
      <c r="B12" t="s">
        <v>86</v>
      </c>
      <c r="C12" s="17">
        <f>C11/C10</f>
        <v>12</v>
      </c>
    </row>
    <row r="13" spans="1:4" x14ac:dyDescent="0.2">
      <c r="A13" t="s">
        <v>92</v>
      </c>
      <c r="B13" t="s">
        <v>88</v>
      </c>
      <c r="D13" t="s">
        <v>95</v>
      </c>
    </row>
    <row r="14" spans="1:4" x14ac:dyDescent="0.2">
      <c r="A14" t="s">
        <v>96</v>
      </c>
      <c r="B14" t="s">
        <v>97</v>
      </c>
      <c r="D14" t="s">
        <v>98</v>
      </c>
    </row>
    <row r="15" spans="1:4" x14ac:dyDescent="0.2">
      <c r="A15" t="s">
        <v>99</v>
      </c>
      <c r="B15" s="18" t="s">
        <v>100</v>
      </c>
    </row>
    <row r="16" spans="1:4" x14ac:dyDescent="0.2">
      <c r="A16" t="s">
        <v>103</v>
      </c>
      <c r="B16" s="18" t="s">
        <v>101</v>
      </c>
    </row>
    <row r="17" spans="1:2" x14ac:dyDescent="0.2">
      <c r="A17" t="s">
        <v>104</v>
      </c>
      <c r="B17" t="s">
        <v>102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88"/>
  <sheetViews>
    <sheetView showGridLines="0" tabSelected="1" zoomScaleNormal="100" workbookViewId="0">
      <pane xSplit="12" topLeftCell="DI1" activePane="topRight" state="frozen"/>
      <selection pane="topRight" activeCell="EH7" sqref="EH7"/>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3" max="113" width="12.6640625" customWidth="1"/>
    <col min="115" max="115" width="13.33203125" customWidth="1"/>
    <col min="117" max="117" width="13" customWidth="1"/>
    <col min="120" max="120" width="12.6640625" customWidth="1"/>
    <col min="122" max="122" width="13.33203125" customWidth="1"/>
    <col min="124" max="124" width="13" customWidth="1"/>
    <col min="127" max="127" width="12.6640625" customWidth="1"/>
    <col min="129" max="129" width="13.33203125" customWidth="1"/>
    <col min="131" max="131" width="13" customWidth="1"/>
    <col min="134" max="134" width="12.6640625" customWidth="1"/>
    <col min="136" max="136" width="15.5" customWidth="1"/>
    <col min="138" max="138" width="13" customWidth="1"/>
    <col min="141" max="141" width="12.6640625" customWidth="1"/>
    <col min="143" max="143" width="13.33203125" customWidth="1"/>
    <col min="145" max="145" width="13" customWidth="1"/>
  </cols>
  <sheetData>
    <row r="1" spans="2:145" ht="34" x14ac:dyDescent="0.4">
      <c r="B1" s="4" t="s">
        <v>0</v>
      </c>
      <c r="D1" s="4"/>
      <c r="G1" s="13" t="s">
        <v>46</v>
      </c>
      <c r="I1" s="13" t="s">
        <v>46</v>
      </c>
      <c r="J1" s="13" t="s">
        <v>46</v>
      </c>
      <c r="K1" s="13" t="s">
        <v>46</v>
      </c>
    </row>
    <row r="2" spans="2:145" x14ac:dyDescent="0.2">
      <c r="I2" s="20" t="s">
        <v>28</v>
      </c>
      <c r="J2" s="20"/>
      <c r="K2" s="20"/>
      <c r="L2" s="20"/>
      <c r="N2" s="20" t="s">
        <v>120</v>
      </c>
      <c r="O2" s="20"/>
      <c r="P2" s="20"/>
      <c r="Q2" s="20"/>
      <c r="R2" s="20"/>
      <c r="S2" s="20"/>
      <c r="U2" s="20" t="s">
        <v>121</v>
      </c>
      <c r="V2" s="20"/>
      <c r="W2" s="20"/>
      <c r="X2" s="20"/>
      <c r="Y2" s="20"/>
      <c r="Z2" s="20"/>
      <c r="AB2" s="20" t="s">
        <v>122</v>
      </c>
      <c r="AC2" s="20"/>
      <c r="AD2" s="20"/>
      <c r="AE2" s="20"/>
      <c r="AF2" s="20"/>
      <c r="AG2" s="20"/>
      <c r="AI2" s="20" t="s">
        <v>123</v>
      </c>
      <c r="AJ2" s="20"/>
      <c r="AK2" s="20"/>
      <c r="AL2" s="20"/>
      <c r="AM2" s="20"/>
      <c r="AN2" s="20"/>
      <c r="AP2" s="20" t="s">
        <v>124</v>
      </c>
      <c r="AQ2" s="20"/>
      <c r="AR2" s="20"/>
      <c r="AS2" s="20"/>
      <c r="AT2" s="20"/>
      <c r="AU2" s="20"/>
      <c r="AW2" s="20" t="s">
        <v>134</v>
      </c>
      <c r="AX2" s="20"/>
      <c r="AY2" s="20"/>
      <c r="AZ2" s="20"/>
      <c r="BA2" s="20"/>
      <c r="BB2" s="20"/>
      <c r="BD2" s="20" t="s">
        <v>135</v>
      </c>
      <c r="BE2" s="20"/>
      <c r="BF2" s="20"/>
      <c r="BG2" s="20"/>
      <c r="BH2" s="20"/>
      <c r="BI2" s="20"/>
      <c r="BK2" s="20" t="s">
        <v>125</v>
      </c>
      <c r="BL2" s="20"/>
      <c r="BM2" s="20"/>
      <c r="BN2" s="20"/>
      <c r="BO2" s="20"/>
      <c r="BP2" s="20"/>
      <c r="BR2" s="20" t="s">
        <v>126</v>
      </c>
      <c r="BS2" s="20"/>
      <c r="BT2" s="20"/>
      <c r="BU2" s="20"/>
      <c r="BV2" s="20"/>
      <c r="BW2" s="20"/>
      <c r="BY2" s="20" t="s">
        <v>127</v>
      </c>
      <c r="BZ2" s="20"/>
      <c r="CA2" s="20"/>
      <c r="CB2" s="20"/>
      <c r="CC2" s="20"/>
      <c r="CD2" s="20"/>
      <c r="CF2" s="20" t="s">
        <v>128</v>
      </c>
      <c r="CG2" s="20"/>
      <c r="CH2" s="20"/>
      <c r="CI2" s="20"/>
      <c r="CJ2" s="20"/>
      <c r="CK2" s="20"/>
      <c r="CM2" s="20" t="s">
        <v>129</v>
      </c>
      <c r="CN2" s="20"/>
      <c r="CO2" s="20"/>
      <c r="CP2" s="20"/>
      <c r="CQ2" s="20"/>
      <c r="CR2" s="20"/>
      <c r="CT2" s="20" t="s">
        <v>130</v>
      </c>
      <c r="CU2" s="20"/>
      <c r="CV2" s="20"/>
      <c r="CW2" s="20"/>
      <c r="CX2" s="20"/>
      <c r="CY2" s="20"/>
      <c r="DA2" s="20" t="s">
        <v>131</v>
      </c>
      <c r="DB2" s="20"/>
      <c r="DC2" s="20"/>
      <c r="DD2" s="20"/>
      <c r="DE2" s="20"/>
      <c r="DF2" s="20"/>
      <c r="DH2" s="20" t="s">
        <v>132</v>
      </c>
      <c r="DI2" s="20"/>
      <c r="DJ2" s="20"/>
      <c r="DK2" s="20"/>
      <c r="DL2" s="20"/>
      <c r="DM2" s="20"/>
      <c r="DO2" s="20" t="s">
        <v>132</v>
      </c>
      <c r="DP2" s="20"/>
      <c r="DQ2" s="20"/>
      <c r="DR2" s="20"/>
      <c r="DS2" s="20"/>
      <c r="DT2" s="20"/>
      <c r="DV2" s="20" t="s">
        <v>132</v>
      </c>
      <c r="DW2" s="20"/>
      <c r="DX2" s="20"/>
      <c r="DY2" s="20"/>
      <c r="DZ2" s="20"/>
      <c r="EA2" s="20"/>
      <c r="EC2" s="20" t="s">
        <v>132</v>
      </c>
      <c r="ED2" s="20"/>
      <c r="EE2" s="20"/>
      <c r="EF2" s="20"/>
      <c r="EG2" s="20"/>
      <c r="EH2" s="20"/>
      <c r="EJ2" s="20" t="s">
        <v>132</v>
      </c>
      <c r="EK2" s="20"/>
      <c r="EL2" s="20"/>
      <c r="EM2" s="20"/>
      <c r="EN2" s="20"/>
      <c r="EO2" s="20"/>
    </row>
    <row r="3" spans="2:145" x14ac:dyDescent="0.2">
      <c r="B3" s="5" t="s">
        <v>27</v>
      </c>
      <c r="C3" s="5" t="s">
        <v>1</v>
      </c>
      <c r="D3" s="5" t="s">
        <v>25</v>
      </c>
      <c r="E3" s="6" t="s">
        <v>43</v>
      </c>
      <c r="F3" s="5" t="s">
        <v>30</v>
      </c>
      <c r="G3" s="5" t="s">
        <v>44</v>
      </c>
      <c r="I3" s="6" t="s">
        <v>12</v>
      </c>
      <c r="J3" s="6" t="s">
        <v>3</v>
      </c>
      <c r="K3" s="6" t="s">
        <v>4</v>
      </c>
      <c r="L3" s="6" t="s">
        <v>13</v>
      </c>
      <c r="N3" s="5" t="s">
        <v>12</v>
      </c>
      <c r="O3" s="5" t="s">
        <v>3</v>
      </c>
      <c r="P3" s="5" t="s">
        <v>45</v>
      </c>
      <c r="Q3" s="5" t="s">
        <v>4</v>
      </c>
      <c r="R3" s="5" t="s">
        <v>45</v>
      </c>
      <c r="S3" s="5" t="s">
        <v>13</v>
      </c>
      <c r="U3" s="5" t="s">
        <v>12</v>
      </c>
      <c r="V3" s="5" t="s">
        <v>3</v>
      </c>
      <c r="W3" s="5" t="s">
        <v>45</v>
      </c>
      <c r="X3" s="5" t="s">
        <v>4</v>
      </c>
      <c r="Y3" s="5" t="s">
        <v>45</v>
      </c>
      <c r="Z3" s="5" t="s">
        <v>13</v>
      </c>
      <c r="AB3" s="5" t="s">
        <v>12</v>
      </c>
      <c r="AC3" s="5" t="s">
        <v>3</v>
      </c>
      <c r="AD3" s="5" t="s">
        <v>45</v>
      </c>
      <c r="AE3" s="5" t="s">
        <v>4</v>
      </c>
      <c r="AF3" s="5" t="s">
        <v>45</v>
      </c>
      <c r="AG3" s="5" t="s">
        <v>13</v>
      </c>
      <c r="AI3" s="5" t="s">
        <v>12</v>
      </c>
      <c r="AJ3" s="5" t="s">
        <v>3</v>
      </c>
      <c r="AK3" s="5" t="s">
        <v>45</v>
      </c>
      <c r="AL3" s="5" t="s">
        <v>4</v>
      </c>
      <c r="AM3" s="5" t="s">
        <v>45</v>
      </c>
      <c r="AN3" s="5" t="s">
        <v>13</v>
      </c>
      <c r="AP3" s="5" t="s">
        <v>12</v>
      </c>
      <c r="AQ3" s="5" t="s">
        <v>3</v>
      </c>
      <c r="AR3" s="5" t="s">
        <v>45</v>
      </c>
      <c r="AS3" s="5" t="s">
        <v>4</v>
      </c>
      <c r="AT3" s="5" t="s">
        <v>45</v>
      </c>
      <c r="AU3" s="5" t="s">
        <v>13</v>
      </c>
      <c r="AW3" s="5" t="s">
        <v>12</v>
      </c>
      <c r="AX3" s="5" t="s">
        <v>3</v>
      </c>
      <c r="AY3" s="5" t="s">
        <v>45</v>
      </c>
      <c r="AZ3" s="5" t="s">
        <v>4</v>
      </c>
      <c r="BA3" s="5" t="s">
        <v>45</v>
      </c>
      <c r="BB3" s="5" t="s">
        <v>13</v>
      </c>
      <c r="BD3" s="5" t="s">
        <v>12</v>
      </c>
      <c r="BE3" s="5" t="s">
        <v>3</v>
      </c>
      <c r="BF3" s="5" t="s">
        <v>45</v>
      </c>
      <c r="BG3" s="5" t="s">
        <v>4</v>
      </c>
      <c r="BH3" s="5" t="s">
        <v>45</v>
      </c>
      <c r="BI3" s="5" t="s">
        <v>13</v>
      </c>
      <c r="BK3" s="5" t="s">
        <v>12</v>
      </c>
      <c r="BL3" s="5" t="s">
        <v>3</v>
      </c>
      <c r="BM3" s="5" t="s">
        <v>45</v>
      </c>
      <c r="BN3" s="5" t="s">
        <v>4</v>
      </c>
      <c r="BO3" s="5" t="s">
        <v>45</v>
      </c>
      <c r="BP3" s="5" t="s">
        <v>13</v>
      </c>
      <c r="BR3" s="5" t="s">
        <v>12</v>
      </c>
      <c r="BS3" s="5" t="s">
        <v>3</v>
      </c>
      <c r="BT3" s="5" t="s">
        <v>45</v>
      </c>
      <c r="BU3" s="5" t="s">
        <v>4</v>
      </c>
      <c r="BV3" s="5" t="s">
        <v>45</v>
      </c>
      <c r="BW3" s="5" t="s">
        <v>13</v>
      </c>
      <c r="BY3" s="5" t="s">
        <v>12</v>
      </c>
      <c r="BZ3" s="5" t="s">
        <v>3</v>
      </c>
      <c r="CA3" s="5" t="s">
        <v>45</v>
      </c>
      <c r="CB3" s="5" t="s">
        <v>4</v>
      </c>
      <c r="CC3" s="5" t="s">
        <v>45</v>
      </c>
      <c r="CD3" s="5" t="s">
        <v>13</v>
      </c>
      <c r="CF3" s="5" t="s">
        <v>12</v>
      </c>
      <c r="CG3" s="5" t="s">
        <v>3</v>
      </c>
      <c r="CH3" s="5" t="s">
        <v>45</v>
      </c>
      <c r="CI3" s="5" t="s">
        <v>4</v>
      </c>
      <c r="CJ3" s="5" t="s">
        <v>45</v>
      </c>
      <c r="CK3" s="5" t="s">
        <v>13</v>
      </c>
      <c r="CM3" s="5" t="s">
        <v>12</v>
      </c>
      <c r="CN3" s="5" t="s">
        <v>3</v>
      </c>
      <c r="CO3" s="5" t="s">
        <v>45</v>
      </c>
      <c r="CP3" s="5" t="s">
        <v>4</v>
      </c>
      <c r="CQ3" s="5" t="s">
        <v>45</v>
      </c>
      <c r="CR3" s="5" t="s">
        <v>13</v>
      </c>
      <c r="CT3" s="5" t="s">
        <v>12</v>
      </c>
      <c r="CU3" s="5" t="s">
        <v>3</v>
      </c>
      <c r="CV3" s="5" t="s">
        <v>45</v>
      </c>
      <c r="CW3" s="5" t="s">
        <v>4</v>
      </c>
      <c r="CX3" s="5" t="s">
        <v>45</v>
      </c>
      <c r="CY3" s="5" t="s">
        <v>13</v>
      </c>
      <c r="DA3" s="5" t="s">
        <v>12</v>
      </c>
      <c r="DB3" s="5" t="s">
        <v>3</v>
      </c>
      <c r="DC3" s="5" t="s">
        <v>45</v>
      </c>
      <c r="DD3" s="5" t="s">
        <v>4</v>
      </c>
      <c r="DE3" s="5" t="s">
        <v>45</v>
      </c>
      <c r="DF3" s="5" t="s">
        <v>13</v>
      </c>
      <c r="DH3" s="5" t="s">
        <v>12</v>
      </c>
      <c r="DI3" s="5" t="s">
        <v>3</v>
      </c>
      <c r="DJ3" s="5" t="s">
        <v>45</v>
      </c>
      <c r="DK3" s="5" t="s">
        <v>4</v>
      </c>
      <c r="DL3" s="5" t="s">
        <v>45</v>
      </c>
      <c r="DM3" s="5" t="s">
        <v>13</v>
      </c>
      <c r="DO3" s="5" t="s">
        <v>12</v>
      </c>
      <c r="DP3" s="5" t="s">
        <v>3</v>
      </c>
      <c r="DQ3" s="5" t="s">
        <v>45</v>
      </c>
      <c r="DR3" s="5" t="s">
        <v>4</v>
      </c>
      <c r="DS3" s="5" t="s">
        <v>45</v>
      </c>
      <c r="DT3" s="5" t="s">
        <v>13</v>
      </c>
      <c r="DV3" s="5" t="s">
        <v>12</v>
      </c>
      <c r="DW3" s="5" t="s">
        <v>3</v>
      </c>
      <c r="DX3" s="5" t="s">
        <v>45</v>
      </c>
      <c r="DY3" s="5" t="s">
        <v>4</v>
      </c>
      <c r="DZ3" s="5" t="s">
        <v>45</v>
      </c>
      <c r="EA3" s="5" t="s">
        <v>13</v>
      </c>
      <c r="EC3" s="5" t="s">
        <v>12</v>
      </c>
      <c r="ED3" s="5" t="s">
        <v>3</v>
      </c>
      <c r="EE3" s="5" t="s">
        <v>45</v>
      </c>
      <c r="EF3" s="5" t="s">
        <v>4</v>
      </c>
      <c r="EG3" s="5" t="s">
        <v>45</v>
      </c>
      <c r="EH3" s="5" t="s">
        <v>13</v>
      </c>
      <c r="EJ3" s="5" t="s">
        <v>12</v>
      </c>
      <c r="EK3" s="5" t="s">
        <v>3</v>
      </c>
      <c r="EL3" s="5" t="s">
        <v>45</v>
      </c>
      <c r="EM3" s="5" t="s">
        <v>4</v>
      </c>
      <c r="EN3" s="5" t="s">
        <v>45</v>
      </c>
      <c r="EO3" s="5" t="s">
        <v>13</v>
      </c>
    </row>
    <row r="4" spans="2:145" x14ac:dyDescent="0.2">
      <c r="B4" t="s">
        <v>28</v>
      </c>
      <c r="C4" t="s">
        <v>109</v>
      </c>
      <c r="D4" s="19">
        <v>44897</v>
      </c>
      <c r="E4" s="9">
        <v>5</v>
      </c>
      <c r="G4" s="10">
        <f>+SUM(G5:G10)</f>
        <v>0</v>
      </c>
      <c r="I4" s="12">
        <v>0</v>
      </c>
      <c r="J4" s="11">
        <f>+SUMPRODUCT(G5:G10,J5:J10)</f>
        <v>0</v>
      </c>
      <c r="K4" s="11">
        <f>+SUMPRODUCT(G5:G10,K5:K10)</f>
        <v>0</v>
      </c>
      <c r="L4" s="9"/>
      <c r="N4" s="12">
        <v>0</v>
      </c>
      <c r="U4" s="12">
        <f>+SUM(U5:U10)</f>
        <v>0</v>
      </c>
      <c r="AB4" s="12">
        <f>+SUM(AB5:AB10)</f>
        <v>0</v>
      </c>
      <c r="AI4" s="12">
        <f>+SUM(AI5:AI10)</f>
        <v>0</v>
      </c>
      <c r="AP4" s="12">
        <f>+SUM(AP5:AP10)</f>
        <v>0</v>
      </c>
      <c r="AW4" s="12">
        <f>+SUM(AW5:AW10)</f>
        <v>0</v>
      </c>
      <c r="BD4" s="12">
        <f>+SUM(BD5:BD10)</f>
        <v>0</v>
      </c>
      <c r="BK4" s="12">
        <f>+SUM(BK5:BK10)</f>
        <v>0</v>
      </c>
      <c r="BR4" s="12">
        <f>+SUM(BR5:BR10)</f>
        <v>0</v>
      </c>
      <c r="BY4" s="12">
        <f>+SUM(BY5:BY10)</f>
        <v>0</v>
      </c>
      <c r="CF4" s="12">
        <f>+SUM(CF5:CF10)</f>
        <v>0</v>
      </c>
      <c r="CM4" s="12">
        <f>+SUM(CM5:CM10)</f>
        <v>0</v>
      </c>
      <c r="CT4" s="12">
        <f>+SUM(CT5:CT10)</f>
        <v>0</v>
      </c>
      <c r="DA4" s="12">
        <f>+SUM(DA5:DA10)</f>
        <v>0</v>
      </c>
      <c r="DH4" s="12">
        <f>+SUM(DH5:DH10)</f>
        <v>0</v>
      </c>
      <c r="DO4" s="12">
        <f>+SUM(DO5:DO10)</f>
        <v>0</v>
      </c>
      <c r="DV4" s="12">
        <f>+SUM(DV5:DV10)</f>
        <v>0</v>
      </c>
      <c r="EC4" s="12">
        <f>+SUM(EC5:EC10)</f>
        <v>0</v>
      </c>
      <c r="EJ4" s="12">
        <f>+SUM(EJ5:EJ10)</f>
        <v>0</v>
      </c>
    </row>
    <row r="5" spans="2:145" ht="16" customHeight="1" outlineLevel="1" x14ac:dyDescent="0.2">
      <c r="B5" t="s">
        <v>29</v>
      </c>
      <c r="C5" t="s">
        <v>2</v>
      </c>
      <c r="E5" s="9"/>
      <c r="F5" t="s">
        <v>31</v>
      </c>
      <c r="G5" s="10"/>
      <c r="I5" s="9">
        <f>+SUMIF($N$3:$ZZ$3,I$3,$N5:$ZZ5)</f>
        <v>2</v>
      </c>
      <c r="J5" s="11" cm="1">
        <f t="array" ref="J5">MAX(IF($N$3:$EH$3=$J$3,N5:EH5))</f>
        <v>0.8</v>
      </c>
      <c r="K5" s="11" cm="1">
        <f t="array" ref="K5">MAX(IF($N$3:$EH$3=$J$3,N5:EH5))</f>
        <v>0.8</v>
      </c>
      <c r="L5" s="9"/>
      <c r="N5">
        <v>2</v>
      </c>
      <c r="O5" s="10">
        <v>0.8</v>
      </c>
      <c r="P5" s="10">
        <v>0.8</v>
      </c>
      <c r="Q5" s="10"/>
      <c r="R5" s="10">
        <v>0.8</v>
      </c>
      <c r="V5" s="10"/>
      <c r="W5" s="10"/>
      <c r="X5" s="10"/>
      <c r="Y5" s="10"/>
      <c r="AC5" s="10"/>
      <c r="AD5" s="10"/>
      <c r="AE5" s="10"/>
      <c r="AF5" s="10"/>
      <c r="AJ5" s="10"/>
      <c r="AK5" s="10"/>
      <c r="AL5" s="10"/>
      <c r="AM5" s="10"/>
      <c r="AQ5" s="10"/>
      <c r="AR5" s="10">
        <v>1</v>
      </c>
      <c r="AS5" s="10"/>
      <c r="AT5" s="10">
        <v>1</v>
      </c>
      <c r="AX5" s="10"/>
      <c r="AY5" s="10"/>
      <c r="AZ5" s="10"/>
      <c r="BA5" s="10"/>
      <c r="BE5" s="10"/>
      <c r="BF5" s="10"/>
      <c r="BG5" s="10"/>
      <c r="BH5" s="10"/>
      <c r="BL5" s="10"/>
      <c r="BM5" s="10"/>
      <c r="BN5" s="10"/>
      <c r="BO5" s="10"/>
      <c r="BS5" s="10"/>
      <c r="BT5" s="10">
        <v>1</v>
      </c>
      <c r="BU5" s="10"/>
      <c r="BV5" s="10">
        <v>1</v>
      </c>
      <c r="BZ5" s="10"/>
      <c r="CA5" s="10">
        <v>1</v>
      </c>
      <c r="CB5" s="10"/>
      <c r="CC5" s="10">
        <v>1</v>
      </c>
      <c r="CG5" s="10"/>
      <c r="CH5" s="10">
        <v>1</v>
      </c>
      <c r="CI5" s="10"/>
      <c r="CJ5" s="10">
        <v>1</v>
      </c>
      <c r="CN5" s="10"/>
      <c r="CO5" s="10"/>
      <c r="CP5" s="10"/>
      <c r="CQ5" s="10"/>
      <c r="CU5" s="10"/>
      <c r="CV5" s="10"/>
      <c r="CW5" s="10"/>
      <c r="CX5" s="10"/>
      <c r="DB5" s="10"/>
      <c r="DC5" s="10"/>
      <c r="DD5" s="10"/>
      <c r="DE5" s="10"/>
      <c r="DI5" s="10"/>
      <c r="DJ5" s="10"/>
      <c r="DK5" s="10"/>
      <c r="DL5" s="10"/>
      <c r="DP5" s="10"/>
      <c r="DQ5" s="10"/>
      <c r="DR5" s="10"/>
      <c r="DS5" s="10"/>
      <c r="DW5" s="10"/>
      <c r="DX5" s="10"/>
      <c r="DY5" s="10"/>
      <c r="DZ5" s="10"/>
      <c r="ED5" s="10"/>
      <c r="EE5" s="10"/>
      <c r="EF5" s="10"/>
      <c r="EG5" s="10"/>
      <c r="EK5" s="10"/>
      <c r="EL5" s="10"/>
      <c r="EM5" s="10"/>
      <c r="EN5" s="10"/>
    </row>
    <row r="6" spans="2:145" ht="16" customHeight="1" outlineLevel="1" x14ac:dyDescent="0.2">
      <c r="B6" t="s">
        <v>29</v>
      </c>
      <c r="C6" t="s">
        <v>2</v>
      </c>
      <c r="E6" s="9"/>
      <c r="F6" t="s">
        <v>32</v>
      </c>
      <c r="G6" s="10"/>
      <c r="I6" s="9">
        <f t="shared" ref="I6:I10" si="0">+SUMIF($N$3:$ZZ$3,I$3,$N6:$ZZ6)</f>
        <v>1.5</v>
      </c>
      <c r="J6" s="11" cm="1">
        <f t="array" ref="J6">MAX(IF($N$3:$EH$3=$J$3,N6:EH6))</f>
        <v>0.5</v>
      </c>
      <c r="K6" s="11" cm="1">
        <f t="array" ref="K6">MAX(IF($N$3:$EH$3=$J$3,N6:EH6))</f>
        <v>0.5</v>
      </c>
      <c r="L6" s="9"/>
      <c r="N6">
        <v>1.5</v>
      </c>
      <c r="O6" s="10">
        <v>0.5</v>
      </c>
      <c r="P6" s="10">
        <v>0.5</v>
      </c>
      <c r="Q6" s="10"/>
      <c r="R6" s="10">
        <v>0.5</v>
      </c>
      <c r="V6" s="10"/>
      <c r="W6" s="10"/>
      <c r="X6" s="10"/>
      <c r="Y6" s="10"/>
      <c r="AC6" s="10"/>
      <c r="AD6" s="10"/>
      <c r="AE6" s="10"/>
      <c r="AF6" s="10"/>
      <c r="AJ6" s="10"/>
      <c r="AK6" s="10"/>
      <c r="AL6" s="10"/>
      <c r="AM6" s="10"/>
      <c r="AQ6" s="10"/>
      <c r="AR6" s="10">
        <v>1</v>
      </c>
      <c r="AS6" s="10"/>
      <c r="AT6" s="10">
        <v>1</v>
      </c>
      <c r="AX6" s="10"/>
      <c r="AY6" s="10"/>
      <c r="AZ6" s="10"/>
      <c r="BA6" s="10"/>
      <c r="BE6" s="10"/>
      <c r="BF6" s="10"/>
      <c r="BG6" s="10"/>
      <c r="BH6" s="10"/>
      <c r="BL6" s="10"/>
      <c r="BM6" s="10"/>
      <c r="BN6" s="10"/>
      <c r="BO6" s="10"/>
      <c r="BS6" s="10"/>
      <c r="BT6" s="10">
        <v>0.8</v>
      </c>
      <c r="BU6" s="10"/>
      <c r="BV6" s="10">
        <v>0.8</v>
      </c>
      <c r="BZ6" s="10"/>
      <c r="CA6" s="10">
        <v>1</v>
      </c>
      <c r="CB6" s="10"/>
      <c r="CC6" s="10">
        <v>1</v>
      </c>
      <c r="CG6" s="10"/>
      <c r="CH6" s="10">
        <v>1</v>
      </c>
      <c r="CI6" s="10"/>
      <c r="CJ6" s="10">
        <v>1</v>
      </c>
      <c r="CN6" s="10"/>
      <c r="CO6" s="10"/>
      <c r="CP6" s="10"/>
      <c r="CQ6" s="10"/>
      <c r="CU6" s="10"/>
      <c r="CV6" s="10"/>
      <c r="CW6" s="10"/>
      <c r="CX6" s="10"/>
      <c r="DB6" s="10"/>
      <c r="DC6" s="10"/>
      <c r="DD6" s="10"/>
      <c r="DE6" s="10"/>
      <c r="DI6" s="10"/>
      <c r="DJ6" s="10"/>
      <c r="DK6" s="10"/>
      <c r="DL6" s="10"/>
      <c r="DP6" s="10"/>
      <c r="DQ6" s="10"/>
      <c r="DR6" s="10"/>
      <c r="DS6" s="10"/>
      <c r="DW6" s="10"/>
      <c r="DX6" s="10"/>
      <c r="DY6" s="10"/>
      <c r="DZ6" s="10"/>
      <c r="ED6" s="10"/>
      <c r="EE6" s="10"/>
      <c r="EF6" s="10"/>
      <c r="EG6" s="10"/>
      <c r="EK6" s="10"/>
      <c r="EL6" s="10"/>
      <c r="EM6" s="10"/>
      <c r="EN6" s="10"/>
    </row>
    <row r="7" spans="2:145" ht="16" customHeight="1" outlineLevel="1" x14ac:dyDescent="0.2">
      <c r="B7" t="s">
        <v>29</v>
      </c>
      <c r="C7" t="s">
        <v>2</v>
      </c>
      <c r="E7" s="9"/>
      <c r="F7" t="s">
        <v>33</v>
      </c>
      <c r="G7" s="10"/>
      <c r="I7" s="9">
        <f t="shared" si="0"/>
        <v>1.5</v>
      </c>
      <c r="J7" s="11" cm="1">
        <f t="array" ref="J7">MAX(IF($N$3:$EH$3=$J$3,N7:EH7))</f>
        <v>0.3</v>
      </c>
      <c r="K7" s="11" cm="1">
        <f t="array" ref="K7">MAX(IF($N$3:$EH$3=$J$3,N7:EH7))</f>
        <v>0.3</v>
      </c>
      <c r="L7" s="9"/>
      <c r="N7">
        <v>1.5</v>
      </c>
      <c r="O7" s="10">
        <v>0.3</v>
      </c>
      <c r="P7" s="10">
        <v>0.3</v>
      </c>
      <c r="Q7" s="10"/>
      <c r="R7" s="10">
        <v>0.3</v>
      </c>
      <c r="V7" s="10"/>
      <c r="W7" s="10"/>
      <c r="X7" s="10"/>
      <c r="Y7" s="10"/>
      <c r="AC7" s="10"/>
      <c r="AD7" s="10"/>
      <c r="AE7" s="10"/>
      <c r="AF7" s="10"/>
      <c r="AJ7" s="10"/>
      <c r="AK7" s="10"/>
      <c r="AL7" s="10"/>
      <c r="AM7" s="10"/>
      <c r="AQ7" s="10"/>
      <c r="AR7" s="10">
        <v>1</v>
      </c>
      <c r="AS7" s="10"/>
      <c r="AT7" s="10">
        <v>1</v>
      </c>
      <c r="AX7" s="10"/>
      <c r="AY7" s="10"/>
      <c r="AZ7" s="10"/>
      <c r="BA7" s="10"/>
      <c r="BE7" s="10"/>
      <c r="BF7" s="10"/>
      <c r="BG7" s="10"/>
      <c r="BH7" s="10"/>
      <c r="BL7" s="10"/>
      <c r="BM7" s="10"/>
      <c r="BN7" s="10"/>
      <c r="BO7" s="10"/>
      <c r="BS7" s="10"/>
      <c r="BT7" s="10">
        <v>0.8</v>
      </c>
      <c r="BU7" s="10"/>
      <c r="BV7" s="10">
        <v>0.8</v>
      </c>
      <c r="BZ7" s="10"/>
      <c r="CA7" s="10">
        <v>1</v>
      </c>
      <c r="CB7" s="10"/>
      <c r="CC7" s="10">
        <v>1</v>
      </c>
      <c r="CG7" s="10"/>
      <c r="CH7" s="10">
        <v>1</v>
      </c>
      <c r="CI7" s="10"/>
      <c r="CJ7" s="10">
        <v>1</v>
      </c>
      <c r="CN7" s="10"/>
      <c r="CO7" s="10"/>
      <c r="CP7" s="10"/>
      <c r="CQ7" s="10"/>
      <c r="CU7" s="10"/>
      <c r="CV7" s="10"/>
      <c r="CW7" s="10"/>
      <c r="CX7" s="10"/>
      <c r="DB7" s="10"/>
      <c r="DC7" s="10"/>
      <c r="DD7" s="10"/>
      <c r="DE7" s="10"/>
      <c r="DI7" s="10"/>
      <c r="DJ7" s="10"/>
      <c r="DK7" s="10"/>
      <c r="DL7" s="10"/>
      <c r="DP7" s="10"/>
      <c r="DQ7" s="10"/>
      <c r="DR7" s="10"/>
      <c r="DS7" s="10"/>
      <c r="DW7" s="10"/>
      <c r="DX7" s="10"/>
      <c r="DY7" s="10"/>
      <c r="DZ7" s="10"/>
      <c r="ED7" s="10"/>
      <c r="EE7" s="10"/>
      <c r="EF7" s="10"/>
      <c r="EG7" s="10"/>
      <c r="EK7" s="10"/>
      <c r="EL7" s="10"/>
      <c r="EM7" s="10"/>
      <c r="EN7" s="10"/>
    </row>
    <row r="8" spans="2:145" ht="16" customHeight="1" outlineLevel="1" x14ac:dyDescent="0.2">
      <c r="B8" t="s">
        <v>29</v>
      </c>
      <c r="C8" t="s">
        <v>2</v>
      </c>
      <c r="E8" s="9"/>
      <c r="F8" t="s">
        <v>34</v>
      </c>
      <c r="G8" s="10"/>
      <c r="I8" s="9">
        <f t="shared" si="0"/>
        <v>2</v>
      </c>
      <c r="J8" s="11" cm="1">
        <f t="array" ref="J8">MAX(IF($N$3:$EH$3=$J$3,N8:EH8))</f>
        <v>0.3</v>
      </c>
      <c r="K8" s="11" cm="1">
        <f t="array" ref="K8">MAX(IF($N$3:$EH$3=$J$3,N8:EH8))</f>
        <v>0.3</v>
      </c>
      <c r="L8" s="9"/>
      <c r="N8">
        <v>2</v>
      </c>
      <c r="O8" s="10">
        <v>0.3</v>
      </c>
      <c r="P8" s="10">
        <v>0.3</v>
      </c>
      <c r="Q8" s="10"/>
      <c r="R8" s="10">
        <v>0.3</v>
      </c>
      <c r="V8" s="10"/>
      <c r="W8" s="10"/>
      <c r="X8" s="10"/>
      <c r="Y8" s="10"/>
      <c r="AC8" s="10"/>
      <c r="AD8" s="10"/>
      <c r="AE8" s="10"/>
      <c r="AF8" s="10"/>
      <c r="AJ8" s="10"/>
      <c r="AK8" s="10"/>
      <c r="AL8" s="10"/>
      <c r="AM8" s="10"/>
      <c r="AQ8" s="10"/>
      <c r="AR8" s="10">
        <v>1</v>
      </c>
      <c r="AS8" s="10"/>
      <c r="AT8" s="10">
        <v>1</v>
      </c>
      <c r="AX8" s="10"/>
      <c r="AY8" s="10"/>
      <c r="AZ8" s="10"/>
      <c r="BA8" s="10"/>
      <c r="BE8" s="10"/>
      <c r="BF8" s="10"/>
      <c r="BG8" s="10"/>
      <c r="BH8" s="10"/>
      <c r="BL8" s="10"/>
      <c r="BM8" s="10"/>
      <c r="BN8" s="10"/>
      <c r="BO8" s="10"/>
      <c r="BS8" s="10"/>
      <c r="BT8" s="10">
        <v>0.8</v>
      </c>
      <c r="BU8" s="10"/>
      <c r="BV8" s="10">
        <v>0.8</v>
      </c>
      <c r="BZ8" s="10"/>
      <c r="CA8" s="10">
        <v>1</v>
      </c>
      <c r="CB8" s="10"/>
      <c r="CC8" s="10">
        <v>1</v>
      </c>
      <c r="CG8" s="10"/>
      <c r="CH8" s="10">
        <v>1</v>
      </c>
      <c r="CI8" s="10"/>
      <c r="CJ8" s="10">
        <v>1</v>
      </c>
      <c r="CN8" s="10"/>
      <c r="CO8" s="10"/>
      <c r="CP8" s="10"/>
      <c r="CQ8" s="10"/>
      <c r="CU8" s="10"/>
      <c r="CV8" s="10"/>
      <c r="CW8" s="10"/>
      <c r="CX8" s="10"/>
      <c r="DB8" s="10"/>
      <c r="DC8" s="10"/>
      <c r="DD8" s="10"/>
      <c r="DE8" s="10"/>
      <c r="DI8" s="10"/>
      <c r="DJ8" s="10"/>
      <c r="DK8" s="10"/>
      <c r="DL8" s="10"/>
      <c r="DP8" s="10"/>
      <c r="DQ8" s="10"/>
      <c r="DR8" s="10"/>
      <c r="DS8" s="10"/>
      <c r="DW8" s="10"/>
      <c r="DX8" s="10"/>
      <c r="DY8" s="10"/>
      <c r="DZ8" s="10"/>
      <c r="ED8" s="10"/>
      <c r="EE8" s="10"/>
      <c r="EF8" s="10"/>
      <c r="EG8" s="10"/>
      <c r="EK8" s="10"/>
      <c r="EL8" s="10"/>
      <c r="EM8" s="10"/>
      <c r="EN8" s="10"/>
    </row>
    <row r="9" spans="2:145" ht="16" customHeight="1" outlineLevel="1" x14ac:dyDescent="0.2">
      <c r="B9" t="s">
        <v>29</v>
      </c>
      <c r="C9" t="s">
        <v>2</v>
      </c>
      <c r="E9" s="9"/>
      <c r="F9" t="s">
        <v>35</v>
      </c>
      <c r="G9" s="10"/>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c r="AL9" s="10"/>
      <c r="AM9" s="10"/>
      <c r="AQ9" s="10"/>
      <c r="AR9" s="10">
        <v>1</v>
      </c>
      <c r="AS9" s="10"/>
      <c r="AT9" s="10">
        <v>1</v>
      </c>
      <c r="AX9" s="10"/>
      <c r="AY9" s="10"/>
      <c r="AZ9" s="10"/>
      <c r="BA9" s="10"/>
      <c r="BE9" s="10"/>
      <c r="BF9" s="10"/>
      <c r="BG9" s="10"/>
      <c r="BH9" s="10"/>
      <c r="BL9" s="10"/>
      <c r="BM9" s="10"/>
      <c r="BN9" s="10"/>
      <c r="BO9" s="10"/>
      <c r="BS9" s="10"/>
      <c r="BT9" s="10">
        <v>0.8</v>
      </c>
      <c r="BU9" s="10"/>
      <c r="BV9" s="10">
        <v>0.8</v>
      </c>
      <c r="BZ9" s="10"/>
      <c r="CA9" s="10">
        <v>0.8</v>
      </c>
      <c r="CB9" s="10"/>
      <c r="CC9" s="10">
        <v>0.8</v>
      </c>
      <c r="CG9" s="10"/>
      <c r="CH9" s="10">
        <v>1</v>
      </c>
      <c r="CI9" s="10"/>
      <c r="CJ9" s="10">
        <v>1</v>
      </c>
      <c r="CN9" s="10"/>
      <c r="CO9" s="10"/>
      <c r="CP9" s="10"/>
      <c r="CQ9" s="10"/>
      <c r="CU9" s="10"/>
      <c r="CV9" s="10"/>
      <c r="CW9" s="10"/>
      <c r="CX9" s="10"/>
      <c r="DB9" s="10"/>
      <c r="DC9" s="10"/>
      <c r="DD9" s="10"/>
      <c r="DE9" s="10"/>
      <c r="DI9" s="10"/>
      <c r="DJ9" s="10"/>
      <c r="DK9" s="10"/>
      <c r="DL9" s="10"/>
      <c r="DP9" s="10"/>
      <c r="DQ9" s="10"/>
      <c r="DR9" s="10"/>
      <c r="DS9" s="10"/>
      <c r="DW9" s="10"/>
      <c r="DX9" s="10"/>
      <c r="DY9" s="10"/>
      <c r="DZ9" s="10"/>
      <c r="ED9" s="10"/>
      <c r="EE9" s="10"/>
      <c r="EF9" s="10"/>
      <c r="EG9" s="10"/>
      <c r="EK9" s="10"/>
      <c r="EL9" s="10"/>
      <c r="EM9" s="10"/>
      <c r="EN9" s="10"/>
    </row>
    <row r="10" spans="2:145" ht="16" customHeight="1" outlineLevel="1" x14ac:dyDescent="0.2">
      <c r="B10" t="s">
        <v>29</v>
      </c>
      <c r="C10" t="s">
        <v>2</v>
      </c>
      <c r="E10" s="9"/>
      <c r="F10" t="s">
        <v>36</v>
      </c>
      <c r="G10" s="10"/>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v>1</v>
      </c>
      <c r="AS10" s="10"/>
      <c r="AT10" s="10">
        <v>1</v>
      </c>
      <c r="AX10" s="10"/>
      <c r="AY10" s="10"/>
      <c r="AZ10" s="10"/>
      <c r="BA10" s="10"/>
      <c r="BE10" s="10"/>
      <c r="BF10" s="10"/>
      <c r="BG10" s="10"/>
      <c r="BH10" s="10"/>
      <c r="BL10" s="10"/>
      <c r="BM10" s="10"/>
      <c r="BN10" s="10"/>
      <c r="BO10" s="10"/>
      <c r="BS10" s="10"/>
      <c r="BT10" s="10">
        <v>0.8</v>
      </c>
      <c r="BU10" s="10"/>
      <c r="BV10" s="10">
        <v>0.8</v>
      </c>
      <c r="BZ10" s="10"/>
      <c r="CA10" s="10">
        <v>0.8</v>
      </c>
      <c r="CB10" s="10"/>
      <c r="CC10" s="10">
        <v>0.8</v>
      </c>
      <c r="CG10" s="10"/>
      <c r="CH10" s="10">
        <v>1</v>
      </c>
      <c r="CI10" s="10"/>
      <c r="CJ10" s="10">
        <v>1</v>
      </c>
      <c r="CN10" s="10"/>
      <c r="CO10" s="10"/>
      <c r="CP10" s="10"/>
      <c r="CQ10" s="10"/>
      <c r="CU10" s="10"/>
      <c r="CV10" s="10"/>
      <c r="CW10" s="10"/>
      <c r="CX10" s="10"/>
      <c r="DB10" s="10"/>
      <c r="DC10" s="10"/>
      <c r="DD10" s="10"/>
      <c r="DE10" s="10"/>
      <c r="DI10" s="10"/>
      <c r="DJ10" s="10"/>
      <c r="DK10" s="10"/>
      <c r="DL10" s="10"/>
      <c r="DP10" s="10"/>
      <c r="DQ10" s="10"/>
      <c r="DR10" s="10"/>
      <c r="DS10" s="10"/>
      <c r="DW10" s="10"/>
      <c r="DX10" s="10"/>
      <c r="DY10" s="10"/>
      <c r="DZ10" s="10"/>
      <c r="ED10" s="10"/>
      <c r="EE10" s="10"/>
      <c r="EF10" s="10"/>
      <c r="EG10" s="10"/>
      <c r="EK10" s="10"/>
      <c r="EL10" s="10"/>
      <c r="EM10" s="10"/>
      <c r="EN10" s="10"/>
    </row>
    <row r="12" spans="2:145" x14ac:dyDescent="0.2">
      <c r="B12" t="s">
        <v>28</v>
      </c>
      <c r="C12" t="s">
        <v>110</v>
      </c>
      <c r="D12" s="19">
        <v>44900</v>
      </c>
      <c r="E12" s="9">
        <v>5</v>
      </c>
      <c r="G12" s="10">
        <f>+SUM(G13:G20)</f>
        <v>0</v>
      </c>
      <c r="I12" s="12">
        <v>0</v>
      </c>
      <c r="J12" s="11">
        <f>+SUMPRODUCT(G13:G20,J13:J20)</f>
        <v>0</v>
      </c>
      <c r="K12" s="11">
        <f>+SUMPRODUCT(G13:G20,K13:K20)</f>
        <v>0</v>
      </c>
      <c r="L12" s="9"/>
      <c r="N12" s="12">
        <v>0</v>
      </c>
      <c r="U12" s="12">
        <f>+SUM(U13:U20)</f>
        <v>0</v>
      </c>
      <c r="AB12" s="12">
        <f>+SUM(AB13:AB20)</f>
        <v>0</v>
      </c>
      <c r="AI12" s="12">
        <f>+SUM(AI13:AI20)</f>
        <v>0</v>
      </c>
      <c r="AP12" s="12">
        <f>+SUM(AP13:AP20)</f>
        <v>0</v>
      </c>
    </row>
    <row r="13" spans="2:145" ht="16" customHeight="1" outlineLevel="1" x14ac:dyDescent="0.2">
      <c r="B13" t="s">
        <v>29</v>
      </c>
      <c r="C13" t="s">
        <v>51</v>
      </c>
      <c r="E13" s="9"/>
      <c r="F13" t="s">
        <v>31</v>
      </c>
      <c r="G13" s="10"/>
      <c r="I13" s="9">
        <f t="shared" ref="I13:I20" si="1">+SUMIF($N$3:$ZZ$3,I$3,$N13:$ZZ13)</f>
        <v>7</v>
      </c>
      <c r="J13" s="11" cm="1">
        <f t="array" ref="J13">MAX(IF($N$3:$EH$3=$J$3,N13:EH13))</f>
        <v>0.8</v>
      </c>
      <c r="K13" s="11" cm="1">
        <f t="array" ref="K13">MAX(IF($N$3:$EH$3=$J$3,N13:EH13))</f>
        <v>0.8</v>
      </c>
      <c r="L13" s="9"/>
      <c r="N13">
        <v>7</v>
      </c>
      <c r="O13" s="10">
        <v>0.8</v>
      </c>
      <c r="P13" s="10">
        <v>0.8</v>
      </c>
      <c r="Q13" s="10"/>
      <c r="R13" s="10">
        <v>0.8</v>
      </c>
      <c r="V13" s="10"/>
      <c r="W13" s="10"/>
      <c r="X13" s="10"/>
      <c r="Y13" s="10"/>
      <c r="AC13" s="10"/>
      <c r="AD13" s="10"/>
      <c r="AE13" s="10"/>
      <c r="AF13" s="10"/>
      <c r="AJ13" s="10"/>
      <c r="AK13" s="10"/>
      <c r="AL13" s="10"/>
      <c r="AM13" s="10"/>
      <c r="AQ13" s="10"/>
      <c r="AR13" s="10">
        <v>1</v>
      </c>
      <c r="AS13" s="10"/>
      <c r="AT13" s="10">
        <v>1</v>
      </c>
      <c r="AX13" s="10"/>
      <c r="AY13" s="10"/>
      <c r="AZ13" s="10"/>
      <c r="BA13" s="10"/>
      <c r="BE13" s="10"/>
      <c r="BF13" s="10"/>
      <c r="BG13" s="10"/>
      <c r="BH13" s="10"/>
      <c r="BL13" s="10"/>
      <c r="BM13" s="10"/>
      <c r="BN13" s="10"/>
      <c r="BO13" s="10"/>
      <c r="BS13" s="10"/>
      <c r="BT13" s="10">
        <v>1</v>
      </c>
      <c r="BU13" s="10"/>
      <c r="BV13" s="10">
        <v>1</v>
      </c>
      <c r="BZ13" s="10"/>
      <c r="CA13" s="10">
        <v>1</v>
      </c>
      <c r="CB13" s="10"/>
      <c r="CC13" s="10">
        <v>1</v>
      </c>
      <c r="CG13" s="10"/>
      <c r="CH13" s="10">
        <v>1</v>
      </c>
      <c r="CI13" s="10"/>
      <c r="CJ13" s="10">
        <v>1</v>
      </c>
      <c r="CN13" s="10"/>
      <c r="CO13" s="10"/>
      <c r="CP13" s="10"/>
      <c r="CQ13" s="10"/>
      <c r="CU13" s="10"/>
      <c r="CV13" s="10"/>
      <c r="CW13" s="10"/>
      <c r="CX13" s="10"/>
      <c r="DB13" s="10"/>
      <c r="DC13" s="10"/>
      <c r="DD13" s="10"/>
      <c r="DE13" s="10"/>
      <c r="DI13" s="10"/>
      <c r="DJ13" s="10"/>
      <c r="DK13" s="10"/>
      <c r="DL13" s="10"/>
      <c r="DP13" s="10"/>
      <c r="DQ13" s="10"/>
      <c r="DR13" s="10"/>
      <c r="DS13" s="10"/>
      <c r="DW13" s="10"/>
      <c r="DX13" s="10"/>
      <c r="DY13" s="10"/>
      <c r="DZ13" s="10"/>
      <c r="ED13" s="10"/>
      <c r="EE13" s="10"/>
      <c r="EF13" s="10"/>
      <c r="EG13" s="10"/>
      <c r="EK13" s="10"/>
      <c r="EL13" s="10"/>
      <c r="EM13" s="10"/>
      <c r="EN13" s="10"/>
    </row>
    <row r="14" spans="2:145" ht="16" customHeight="1" outlineLevel="1" x14ac:dyDescent="0.2">
      <c r="B14" t="s">
        <v>29</v>
      </c>
      <c r="C14" t="s">
        <v>51</v>
      </c>
      <c r="E14" s="9"/>
      <c r="F14" t="s">
        <v>52</v>
      </c>
      <c r="G14" s="10"/>
      <c r="I14" s="9">
        <f t="shared" si="1"/>
        <v>4</v>
      </c>
      <c r="J14" s="11" cm="1">
        <f t="array" ref="J14">MAX(IF($N$3:$EH$3=$J$3,N14:EH14))</f>
        <v>0.3</v>
      </c>
      <c r="K14" s="11" cm="1">
        <f t="array" ref="K14">MAX(IF($N$3:$EH$3=$J$3,N14:EH14))</f>
        <v>0.3</v>
      </c>
      <c r="L14" s="9"/>
      <c r="N14">
        <v>4</v>
      </c>
      <c r="O14" s="10">
        <v>0.3</v>
      </c>
      <c r="P14" s="10">
        <v>0.5</v>
      </c>
      <c r="Q14" s="10"/>
      <c r="R14" s="10">
        <v>0.5</v>
      </c>
      <c r="V14" s="10"/>
      <c r="W14" s="10"/>
      <c r="X14" s="10"/>
      <c r="Y14" s="10"/>
      <c r="AC14" s="10"/>
      <c r="AD14" s="10"/>
      <c r="AE14" s="10"/>
      <c r="AF14" s="10"/>
      <c r="AJ14" s="10"/>
      <c r="AK14" s="10"/>
      <c r="AL14" s="10"/>
      <c r="AM14" s="10"/>
      <c r="AQ14" s="10"/>
      <c r="AR14" s="10">
        <v>1</v>
      </c>
      <c r="AS14" s="10"/>
      <c r="AT14" s="10">
        <v>1</v>
      </c>
      <c r="AX14" s="10"/>
      <c r="AY14" s="10"/>
      <c r="AZ14" s="10"/>
      <c r="BA14" s="10"/>
      <c r="BE14" s="10"/>
      <c r="BF14" s="10"/>
      <c r="BG14" s="10"/>
      <c r="BH14" s="10"/>
      <c r="BL14" s="10"/>
      <c r="BM14" s="10"/>
      <c r="BN14" s="10"/>
      <c r="BO14" s="10"/>
      <c r="BS14" s="10"/>
      <c r="BT14" s="10">
        <v>0.8</v>
      </c>
      <c r="BU14" s="10"/>
      <c r="BV14" s="10">
        <v>0.8</v>
      </c>
      <c r="BZ14" s="10"/>
      <c r="CA14" s="10">
        <v>1</v>
      </c>
      <c r="CB14" s="10"/>
      <c r="CC14" s="10">
        <v>1</v>
      </c>
      <c r="CG14" s="10"/>
      <c r="CH14" s="10">
        <v>1</v>
      </c>
      <c r="CI14" s="10"/>
      <c r="CJ14" s="10">
        <v>1</v>
      </c>
      <c r="CN14" s="10"/>
      <c r="CO14" s="10"/>
      <c r="CP14" s="10"/>
      <c r="CQ14" s="10"/>
      <c r="CU14" s="10"/>
      <c r="CV14" s="10"/>
      <c r="CW14" s="10"/>
      <c r="CX14" s="10"/>
      <c r="DB14" s="10"/>
      <c r="DC14" s="10"/>
      <c r="DD14" s="10"/>
      <c r="DE14" s="10"/>
      <c r="DI14" s="10"/>
      <c r="DJ14" s="10"/>
      <c r="DK14" s="10"/>
      <c r="DL14" s="10"/>
      <c r="DP14" s="10"/>
      <c r="DQ14" s="10"/>
      <c r="DR14" s="10"/>
      <c r="DS14" s="10"/>
      <c r="DW14" s="10"/>
      <c r="DX14" s="10"/>
      <c r="DY14" s="10"/>
      <c r="DZ14" s="10"/>
      <c r="ED14" s="10"/>
      <c r="EE14" s="10"/>
      <c r="EF14" s="10"/>
      <c r="EG14" s="10"/>
      <c r="EK14" s="10"/>
      <c r="EL14" s="10"/>
      <c r="EM14" s="10"/>
      <c r="EN14" s="10"/>
    </row>
    <row r="15" spans="2:145" ht="16" customHeight="1" outlineLevel="1" x14ac:dyDescent="0.2">
      <c r="B15" t="s">
        <v>29</v>
      </c>
      <c r="C15" t="s">
        <v>51</v>
      </c>
      <c r="E15" s="9"/>
      <c r="F15" t="s">
        <v>52</v>
      </c>
      <c r="G15" s="10"/>
      <c r="I15" s="9">
        <f t="shared" si="1"/>
        <v>0</v>
      </c>
      <c r="J15" s="11" cm="1">
        <f t="array" ref="J15">MAX(IF($N$3:$EH$3=$J$3,N15:EH15))</f>
        <v>0</v>
      </c>
      <c r="K15" s="11" cm="1">
        <f t="array" ref="K15">MAX(IF($N$3:$EH$3=$J$3,N15:EH15))</f>
        <v>0</v>
      </c>
      <c r="L15" s="9"/>
      <c r="O15" s="10"/>
      <c r="P15" s="10">
        <v>0.3</v>
      </c>
      <c r="Q15" s="10"/>
      <c r="R15" s="10">
        <v>0.3</v>
      </c>
      <c r="V15" s="10"/>
      <c r="W15" s="10"/>
      <c r="X15" s="10"/>
      <c r="Y15" s="10"/>
      <c r="AC15" s="10"/>
      <c r="AD15" s="10"/>
      <c r="AE15" s="10"/>
      <c r="AF15" s="10"/>
      <c r="AJ15" s="10"/>
      <c r="AK15" s="10"/>
      <c r="AL15" s="10"/>
      <c r="AM15" s="10"/>
      <c r="AQ15" s="10"/>
      <c r="AR15" s="10">
        <v>1</v>
      </c>
      <c r="AS15" s="10"/>
      <c r="AT15" s="10">
        <v>1</v>
      </c>
      <c r="AX15" s="10"/>
      <c r="AY15" s="10"/>
      <c r="AZ15" s="10"/>
      <c r="BA15" s="10"/>
      <c r="BE15" s="10"/>
      <c r="BF15" s="10"/>
      <c r="BG15" s="10"/>
      <c r="BH15" s="10"/>
      <c r="BL15" s="10"/>
      <c r="BM15" s="10"/>
      <c r="BN15" s="10"/>
      <c r="BO15" s="10"/>
      <c r="BS15" s="10"/>
      <c r="BT15" s="10">
        <v>0.8</v>
      </c>
      <c r="BU15" s="10"/>
      <c r="BV15" s="10">
        <v>0.8</v>
      </c>
      <c r="BZ15" s="10"/>
      <c r="CA15" s="10">
        <v>1</v>
      </c>
      <c r="CB15" s="10"/>
      <c r="CC15" s="10">
        <v>1</v>
      </c>
      <c r="CG15" s="10"/>
      <c r="CH15" s="10">
        <v>1</v>
      </c>
      <c r="CI15" s="10"/>
      <c r="CJ15" s="10">
        <v>1</v>
      </c>
      <c r="CN15" s="10"/>
      <c r="CO15" s="10"/>
      <c r="CP15" s="10"/>
      <c r="CQ15" s="10"/>
      <c r="CU15" s="10"/>
      <c r="CV15" s="10"/>
      <c r="CW15" s="10"/>
      <c r="CX15" s="10"/>
      <c r="DB15" s="10"/>
      <c r="DC15" s="10"/>
      <c r="DD15" s="10"/>
      <c r="DE15" s="10"/>
      <c r="DI15" s="10"/>
      <c r="DJ15" s="10"/>
      <c r="DK15" s="10"/>
      <c r="DL15" s="10"/>
      <c r="DP15" s="10"/>
      <c r="DQ15" s="10"/>
      <c r="DR15" s="10"/>
      <c r="DS15" s="10"/>
      <c r="DW15" s="10"/>
      <c r="DX15" s="10"/>
      <c r="DY15" s="10"/>
      <c r="DZ15" s="10"/>
      <c r="ED15" s="10"/>
      <c r="EE15" s="10"/>
      <c r="EF15" s="10"/>
      <c r="EG15" s="10"/>
      <c r="EK15" s="10"/>
      <c r="EL15" s="10"/>
      <c r="EM15" s="10"/>
      <c r="EN15" s="10"/>
    </row>
    <row r="16" spans="2:145" ht="16" customHeight="1" outlineLevel="1" x14ac:dyDescent="0.2">
      <c r="B16" t="s">
        <v>29</v>
      </c>
      <c r="C16" t="s">
        <v>51</v>
      </c>
      <c r="E16" s="9"/>
      <c r="F16" t="s">
        <v>52</v>
      </c>
      <c r="G16" s="10"/>
      <c r="I16" s="9">
        <f t="shared" si="1"/>
        <v>0</v>
      </c>
      <c r="J16" s="11" cm="1">
        <f t="array" ref="J16">MAX(IF($N$3:$EH$3=$J$3,N16:EH16))</f>
        <v>0</v>
      </c>
      <c r="K16" s="11" cm="1">
        <f t="array" ref="K16">MAX(IF($N$3:$EH$3=$J$3,N16:EH16))</f>
        <v>0</v>
      </c>
      <c r="L16" s="9"/>
      <c r="O16" s="10"/>
      <c r="P16" s="10">
        <v>0.3</v>
      </c>
      <c r="Q16" s="10"/>
      <c r="R16" s="10">
        <v>0.3</v>
      </c>
      <c r="V16" s="10"/>
      <c r="W16" s="10"/>
      <c r="X16" s="10"/>
      <c r="Y16" s="10"/>
      <c r="AC16" s="10"/>
      <c r="AD16" s="10"/>
      <c r="AE16" s="10"/>
      <c r="AF16" s="10"/>
      <c r="AJ16" s="10"/>
      <c r="AK16" s="10"/>
      <c r="AL16" s="10"/>
      <c r="AM16" s="10"/>
      <c r="AQ16" s="10"/>
      <c r="AR16" s="10">
        <v>1</v>
      </c>
      <c r="AS16" s="10"/>
      <c r="AT16" s="10">
        <v>1</v>
      </c>
      <c r="AX16" s="10"/>
      <c r="AY16" s="10"/>
      <c r="AZ16" s="10"/>
      <c r="BA16" s="10"/>
      <c r="BE16" s="10"/>
      <c r="BF16" s="10"/>
      <c r="BG16" s="10"/>
      <c r="BH16" s="10"/>
      <c r="BL16" s="10"/>
      <c r="BM16" s="10"/>
      <c r="BN16" s="10"/>
      <c r="BO16" s="10"/>
      <c r="BS16" s="10"/>
      <c r="BT16" s="10">
        <v>0.8</v>
      </c>
      <c r="BU16" s="10"/>
      <c r="BV16" s="10">
        <v>0.8</v>
      </c>
      <c r="BZ16" s="10"/>
      <c r="CA16" s="10">
        <v>1</v>
      </c>
      <c r="CB16" s="10"/>
      <c r="CC16" s="10">
        <v>1</v>
      </c>
      <c r="CG16" s="10"/>
      <c r="CH16" s="10">
        <v>1</v>
      </c>
      <c r="CI16" s="10"/>
      <c r="CJ16" s="10">
        <v>1</v>
      </c>
      <c r="CN16" s="10"/>
      <c r="CO16" s="10"/>
      <c r="CP16" s="10"/>
      <c r="CQ16" s="10"/>
      <c r="CU16" s="10"/>
      <c r="CV16" s="10"/>
      <c r="CW16" s="10"/>
      <c r="CX16" s="10"/>
      <c r="DB16" s="10"/>
      <c r="DC16" s="10"/>
      <c r="DD16" s="10"/>
      <c r="DE16" s="10"/>
      <c r="DI16" s="10"/>
      <c r="DJ16" s="10"/>
      <c r="DK16" s="10"/>
      <c r="DL16" s="10"/>
      <c r="DP16" s="10"/>
      <c r="DQ16" s="10"/>
      <c r="DR16" s="10"/>
      <c r="DS16" s="10"/>
      <c r="DW16" s="10"/>
      <c r="DX16" s="10"/>
      <c r="DY16" s="10"/>
      <c r="DZ16" s="10"/>
      <c r="ED16" s="10"/>
      <c r="EE16" s="10"/>
      <c r="EF16" s="10"/>
      <c r="EG16" s="10"/>
      <c r="EK16" s="10"/>
      <c r="EL16" s="10"/>
      <c r="EM16" s="10"/>
      <c r="EN16" s="10"/>
    </row>
    <row r="17" spans="2:144" ht="16" customHeight="1" outlineLevel="1" x14ac:dyDescent="0.2">
      <c r="B17" t="s">
        <v>29</v>
      </c>
      <c r="C17" t="s">
        <v>51</v>
      </c>
      <c r="E17" s="9"/>
      <c r="F17" t="s">
        <v>53</v>
      </c>
      <c r="G17" s="10"/>
      <c r="I17" s="9">
        <f t="shared" si="1"/>
        <v>0</v>
      </c>
      <c r="J17" s="11" cm="1">
        <f t="array" ref="J17">MAX(IF($N$3:$EH$3=$J$3,N17:EH17))</f>
        <v>0</v>
      </c>
      <c r="K17" s="11" cm="1">
        <f t="array" ref="K17">MAX(IF($N$3:$EH$3=$J$3,N17:EH17))</f>
        <v>0</v>
      </c>
      <c r="L17" s="9"/>
      <c r="O17" s="10"/>
      <c r="P17" s="10"/>
      <c r="Q17" s="10"/>
      <c r="R17" s="10"/>
      <c r="V17" s="10"/>
      <c r="W17" s="10"/>
      <c r="X17" s="10"/>
      <c r="Y17" s="10"/>
      <c r="AC17" s="10"/>
      <c r="AD17" s="10"/>
      <c r="AE17" s="10"/>
      <c r="AF17" s="10"/>
      <c r="AJ17" s="10"/>
      <c r="AK17" s="10"/>
      <c r="AL17" s="10"/>
      <c r="AM17" s="10"/>
      <c r="AQ17" s="10"/>
      <c r="AR17" s="10">
        <v>1</v>
      </c>
      <c r="AS17" s="10"/>
      <c r="AT17" s="10">
        <v>1</v>
      </c>
      <c r="AX17" s="10"/>
      <c r="AY17" s="10"/>
      <c r="AZ17" s="10"/>
      <c r="BA17" s="10"/>
      <c r="BE17" s="10"/>
      <c r="BF17" s="10"/>
      <c r="BG17" s="10"/>
      <c r="BH17" s="10"/>
      <c r="BL17" s="10"/>
      <c r="BM17" s="10"/>
      <c r="BN17" s="10"/>
      <c r="BO17" s="10"/>
      <c r="BS17" s="10"/>
      <c r="BT17" s="10">
        <v>0.8</v>
      </c>
      <c r="BU17" s="10"/>
      <c r="BV17" s="10">
        <v>0.8</v>
      </c>
      <c r="BZ17" s="10"/>
      <c r="CA17" s="10">
        <v>0.8</v>
      </c>
      <c r="CB17" s="10"/>
      <c r="CC17" s="10">
        <v>0.8</v>
      </c>
      <c r="CG17" s="10"/>
      <c r="CH17" s="10">
        <v>1</v>
      </c>
      <c r="CI17" s="10"/>
      <c r="CJ17" s="10">
        <v>1</v>
      </c>
      <c r="CN17" s="10"/>
      <c r="CO17" s="10"/>
      <c r="CP17" s="10"/>
      <c r="CQ17" s="10"/>
      <c r="CU17" s="10"/>
      <c r="CV17" s="10"/>
      <c r="CW17" s="10"/>
      <c r="CX17" s="10"/>
      <c r="DB17" s="10"/>
      <c r="DC17" s="10"/>
      <c r="DD17" s="10"/>
      <c r="DE17" s="10"/>
      <c r="DI17" s="10"/>
      <c r="DJ17" s="10"/>
      <c r="DK17" s="10"/>
      <c r="DL17" s="10"/>
      <c r="DP17" s="10"/>
      <c r="DQ17" s="10"/>
      <c r="DR17" s="10"/>
      <c r="DS17" s="10"/>
      <c r="DW17" s="10"/>
      <c r="DX17" s="10"/>
      <c r="DY17" s="10"/>
      <c r="DZ17" s="10"/>
      <c r="ED17" s="10"/>
      <c r="EE17" s="10"/>
      <c r="EF17" s="10"/>
      <c r="EG17" s="10"/>
      <c r="EK17" s="10"/>
      <c r="EL17" s="10"/>
      <c r="EM17" s="10"/>
      <c r="EN17" s="10"/>
    </row>
    <row r="18" spans="2:144" ht="16" customHeight="1" outlineLevel="1" x14ac:dyDescent="0.2">
      <c r="B18" t="s">
        <v>29</v>
      </c>
      <c r="C18" t="s">
        <v>51</v>
      </c>
      <c r="E18" s="9"/>
      <c r="F18" t="s">
        <v>54</v>
      </c>
      <c r="G18" s="10"/>
      <c r="I18" s="9">
        <f t="shared" si="1"/>
        <v>0</v>
      </c>
      <c r="J18" s="11" cm="1">
        <f t="array" ref="J18">MAX(IF($N$3:$EH$3=$J$3,N18:EH18))</f>
        <v>0</v>
      </c>
      <c r="K18" s="11" cm="1">
        <f t="array" ref="K18">MAX(IF($N$3:$EH$3=$J$3,N18:EH18))</f>
        <v>0</v>
      </c>
      <c r="L18" s="9"/>
      <c r="O18" s="10"/>
      <c r="P18" s="10"/>
      <c r="Q18" s="10"/>
      <c r="R18" s="10"/>
      <c r="V18" s="10"/>
      <c r="W18" s="10"/>
      <c r="X18" s="10"/>
      <c r="Y18" s="10"/>
      <c r="AC18" s="10"/>
      <c r="AD18" s="10"/>
      <c r="AE18" s="10"/>
      <c r="AF18" s="10"/>
      <c r="AJ18" s="10"/>
      <c r="AK18" s="10"/>
      <c r="AL18" s="10"/>
      <c r="AM18" s="10"/>
      <c r="AQ18" s="10"/>
      <c r="AR18" s="10">
        <v>1</v>
      </c>
      <c r="AS18" s="10"/>
      <c r="AT18" s="10">
        <v>1</v>
      </c>
      <c r="AX18" s="10"/>
      <c r="AY18" s="10"/>
      <c r="AZ18" s="10"/>
      <c r="BA18" s="10"/>
      <c r="BE18" s="10"/>
      <c r="BF18" s="10"/>
      <c r="BG18" s="10"/>
      <c r="BH18" s="10"/>
      <c r="BL18" s="10"/>
      <c r="BM18" s="10"/>
      <c r="BN18" s="10"/>
      <c r="BO18" s="10"/>
      <c r="BS18" s="10"/>
      <c r="BT18" s="10">
        <v>0.8</v>
      </c>
      <c r="BU18" s="10"/>
      <c r="BV18" s="10">
        <v>0.8</v>
      </c>
      <c r="BZ18" s="10"/>
      <c r="CA18" s="10">
        <v>0.8</v>
      </c>
      <c r="CB18" s="10"/>
      <c r="CC18" s="10">
        <v>0.8</v>
      </c>
      <c r="CG18" s="10"/>
      <c r="CH18" s="10">
        <v>1</v>
      </c>
      <c r="CI18" s="10"/>
      <c r="CJ18" s="10">
        <v>1</v>
      </c>
      <c r="CN18" s="10"/>
      <c r="CO18" s="10"/>
      <c r="CP18" s="10"/>
      <c r="CQ18" s="10"/>
      <c r="CU18" s="10"/>
      <c r="CV18" s="10"/>
      <c r="CW18" s="10"/>
      <c r="CX18" s="10"/>
      <c r="DB18" s="10"/>
      <c r="DC18" s="10"/>
      <c r="DD18" s="10"/>
      <c r="DE18" s="10"/>
      <c r="DI18" s="10"/>
      <c r="DJ18" s="10"/>
      <c r="DK18" s="10"/>
      <c r="DL18" s="10"/>
      <c r="DP18" s="10"/>
      <c r="DQ18" s="10"/>
      <c r="DR18" s="10"/>
      <c r="DS18" s="10"/>
      <c r="DW18" s="10"/>
      <c r="DX18" s="10"/>
      <c r="DY18" s="10"/>
      <c r="DZ18" s="10"/>
      <c r="ED18" s="10"/>
      <c r="EE18" s="10"/>
      <c r="EF18" s="10"/>
      <c r="EG18" s="10"/>
      <c r="EK18" s="10"/>
      <c r="EL18" s="10"/>
      <c r="EM18" s="10"/>
      <c r="EN18" s="10"/>
    </row>
    <row r="19" spans="2:144" ht="16" customHeight="1" outlineLevel="1" x14ac:dyDescent="0.2">
      <c r="B19" t="s">
        <v>29</v>
      </c>
      <c r="C19" t="s">
        <v>51</v>
      </c>
      <c r="E19" s="9"/>
      <c r="F19" t="s">
        <v>55</v>
      </c>
      <c r="G19" s="10"/>
      <c r="I19" s="9">
        <f t="shared" si="1"/>
        <v>0</v>
      </c>
      <c r="J19" s="11" cm="1">
        <f t="array" ref="J19">MAX(IF($N$3:$EH$3=$J$3,N19:EH19))</f>
        <v>0</v>
      </c>
      <c r="K19" s="11" cm="1">
        <f t="array" ref="K19">MAX(IF($N$3:$EH$3=$J$3,N19:EH19))</f>
        <v>0</v>
      </c>
      <c r="L19" s="9"/>
      <c r="O19" s="10"/>
      <c r="P19" s="10"/>
      <c r="Q19" s="10"/>
      <c r="R19" s="10"/>
      <c r="V19" s="10"/>
      <c r="W19" s="10"/>
      <c r="X19" s="10"/>
      <c r="Y19" s="10"/>
      <c r="AC19" s="10"/>
      <c r="AD19" s="10"/>
      <c r="AE19" s="10"/>
      <c r="AF19" s="10"/>
      <c r="AJ19" s="10"/>
      <c r="AK19" s="10"/>
      <c r="AL19" s="10"/>
      <c r="AM19" s="10"/>
      <c r="AQ19" s="10"/>
      <c r="AR19" s="10">
        <v>1</v>
      </c>
      <c r="AS19" s="10"/>
      <c r="AT19" s="10">
        <v>1</v>
      </c>
      <c r="AX19" s="10"/>
      <c r="AY19" s="10"/>
      <c r="AZ19" s="10"/>
      <c r="BA19" s="10"/>
      <c r="BE19" s="10"/>
      <c r="BF19" s="10"/>
      <c r="BG19" s="10"/>
      <c r="BH19" s="10"/>
      <c r="BL19" s="10"/>
      <c r="BM19" s="10"/>
      <c r="BN19" s="10"/>
      <c r="BO19" s="10"/>
      <c r="BS19" s="10"/>
      <c r="BT19" s="10">
        <v>0.8</v>
      </c>
      <c r="BU19" s="10"/>
      <c r="BV19" s="10">
        <v>0.8</v>
      </c>
      <c r="BZ19" s="10"/>
      <c r="CA19" s="10">
        <v>0.8</v>
      </c>
      <c r="CB19" s="10"/>
      <c r="CC19" s="10">
        <v>0.8</v>
      </c>
      <c r="CG19" s="10"/>
      <c r="CH19" s="10">
        <v>1</v>
      </c>
      <c r="CI19" s="10"/>
      <c r="CJ19" s="10">
        <v>1</v>
      </c>
      <c r="CN19" s="10"/>
      <c r="CO19" s="10"/>
      <c r="CP19" s="10"/>
      <c r="CQ19" s="10"/>
      <c r="CU19" s="10"/>
      <c r="CV19" s="10"/>
      <c r="CW19" s="10"/>
      <c r="CX19" s="10"/>
      <c r="DB19" s="10"/>
      <c r="DC19" s="10"/>
      <c r="DD19" s="10"/>
      <c r="DE19" s="10"/>
      <c r="DI19" s="10"/>
      <c r="DJ19" s="10"/>
      <c r="DK19" s="10"/>
      <c r="DL19" s="10"/>
      <c r="DP19" s="10"/>
      <c r="DQ19" s="10"/>
      <c r="DR19" s="10"/>
      <c r="DS19" s="10"/>
      <c r="DW19" s="10"/>
      <c r="DX19" s="10"/>
      <c r="DY19" s="10"/>
      <c r="DZ19" s="10"/>
      <c r="ED19" s="10"/>
      <c r="EE19" s="10"/>
      <c r="EF19" s="10"/>
      <c r="EG19" s="10"/>
      <c r="EK19" s="10"/>
      <c r="EL19" s="10"/>
      <c r="EM19" s="10"/>
      <c r="EN19" s="10"/>
    </row>
    <row r="20" spans="2:144" ht="16" customHeight="1" outlineLevel="1" x14ac:dyDescent="0.2">
      <c r="B20" t="s">
        <v>29</v>
      </c>
      <c r="C20" t="s">
        <v>51</v>
      </c>
      <c r="E20" s="9"/>
      <c r="F20" t="s">
        <v>56</v>
      </c>
      <c r="G20" s="10"/>
      <c r="I20" s="9">
        <f t="shared" si="1"/>
        <v>0</v>
      </c>
      <c r="J20" s="11" cm="1">
        <f t="array" ref="J20">MAX(IF($N$3:$EH$3=$J$3,N20:EH20))</f>
        <v>0</v>
      </c>
      <c r="K20" s="11" cm="1">
        <f t="array" ref="K20">MAX(IF($N$3:$EH$3=$J$3,N20:EH20))</f>
        <v>0</v>
      </c>
      <c r="L20" s="9"/>
      <c r="O20" s="10"/>
      <c r="P20" s="10"/>
      <c r="Q20" s="10"/>
      <c r="R20" s="10"/>
      <c r="V20" s="10"/>
      <c r="W20" s="10"/>
      <c r="X20" s="10"/>
      <c r="Y20" s="10"/>
      <c r="AC20" s="10"/>
      <c r="AD20" s="10"/>
      <c r="AE20" s="10"/>
      <c r="AF20" s="10"/>
      <c r="AJ20" s="10"/>
      <c r="AK20" s="10"/>
      <c r="AL20" s="10"/>
      <c r="AM20" s="10"/>
      <c r="AQ20" s="10"/>
      <c r="AR20" s="10">
        <v>1</v>
      </c>
      <c r="AS20" s="10"/>
      <c r="AT20" s="10">
        <v>1</v>
      </c>
      <c r="AX20" s="10"/>
      <c r="AY20" s="10"/>
      <c r="AZ20" s="10"/>
      <c r="BA20" s="10"/>
      <c r="BE20" s="10"/>
      <c r="BF20" s="10"/>
      <c r="BG20" s="10"/>
      <c r="BH20" s="10"/>
      <c r="BL20" s="10"/>
      <c r="BM20" s="10"/>
      <c r="BN20" s="10"/>
      <c r="BO20" s="10"/>
      <c r="BS20" s="10"/>
      <c r="BT20" s="10">
        <v>0.8</v>
      </c>
      <c r="BU20" s="10"/>
      <c r="BV20" s="10">
        <v>0.8</v>
      </c>
      <c r="BZ20" s="10"/>
      <c r="CA20" s="10">
        <v>0.8</v>
      </c>
      <c r="CB20" s="10"/>
      <c r="CC20" s="10">
        <v>0.8</v>
      </c>
      <c r="CG20" s="10"/>
      <c r="CH20" s="10">
        <v>1</v>
      </c>
      <c r="CI20" s="10"/>
      <c r="CJ20" s="10">
        <v>1</v>
      </c>
      <c r="CN20" s="10"/>
      <c r="CO20" s="10"/>
      <c r="CP20" s="10"/>
      <c r="CQ20" s="10"/>
      <c r="CU20" s="10"/>
      <c r="CV20" s="10"/>
      <c r="CW20" s="10"/>
      <c r="CX20" s="10"/>
      <c r="DB20" s="10"/>
      <c r="DC20" s="10"/>
      <c r="DD20" s="10"/>
      <c r="DE20" s="10"/>
      <c r="DI20" s="10"/>
      <c r="DJ20" s="10"/>
      <c r="DK20" s="10"/>
      <c r="DL20" s="10"/>
      <c r="DP20" s="10"/>
      <c r="DQ20" s="10"/>
      <c r="DR20" s="10"/>
      <c r="DS20" s="10"/>
      <c r="DW20" s="10"/>
      <c r="DX20" s="10"/>
      <c r="DY20" s="10"/>
      <c r="DZ20" s="10"/>
      <c r="ED20" s="10"/>
      <c r="EE20" s="10"/>
      <c r="EF20" s="10"/>
      <c r="EG20" s="10"/>
      <c r="EK20" s="10"/>
      <c r="EL20" s="10"/>
      <c r="EM20" s="10"/>
      <c r="EN20" s="10"/>
    </row>
    <row r="22" spans="2:144" x14ac:dyDescent="0.2">
      <c r="B22" t="s">
        <v>28</v>
      </c>
      <c r="C22" t="s">
        <v>111</v>
      </c>
      <c r="D22" s="19">
        <v>44980</v>
      </c>
      <c r="E22" s="9">
        <v>5</v>
      </c>
      <c r="G22" s="10">
        <f>+SUM(G23:G33)</f>
        <v>0</v>
      </c>
      <c r="I22" s="12">
        <f>+SUM(I23:I33)</f>
        <v>0</v>
      </c>
      <c r="J22" s="11">
        <f>+SUMPRODUCT(G23:G33,J23:J33)</f>
        <v>0</v>
      </c>
      <c r="K22" s="11">
        <f>+SUMPRODUCT(G23:G33,K23:K33)</f>
        <v>0</v>
      </c>
      <c r="L22" s="9"/>
      <c r="N22" s="12">
        <f>+SUM(N23:N33)</f>
        <v>0</v>
      </c>
      <c r="U22" s="12">
        <f>+SUM(U23:U33)</f>
        <v>0</v>
      </c>
      <c r="AB22" s="12">
        <f>+SUM(AB23:AB33)</f>
        <v>0</v>
      </c>
      <c r="AI22" s="12">
        <f>+SUM(AI23:AI33)</f>
        <v>0</v>
      </c>
      <c r="AP22" s="12">
        <f>+SUM(AP23:AP33)</f>
        <v>0</v>
      </c>
    </row>
    <row r="23" spans="2:144" ht="16" hidden="1" customHeight="1" outlineLevel="1" x14ac:dyDescent="0.2">
      <c r="B23" t="s">
        <v>29</v>
      </c>
      <c r="C23" t="s">
        <v>2</v>
      </c>
      <c r="E23" s="9"/>
      <c r="F23" t="s">
        <v>31</v>
      </c>
      <c r="G23" s="10"/>
      <c r="I23" s="9">
        <f t="shared" ref="I23:I33" si="2">+SUMIF($N$3:$ZZ$3,I$3,$N23:$ZZ23)</f>
        <v>0</v>
      </c>
      <c r="J23" s="11" cm="1">
        <f t="array" ref="J23">MAX(IF($N$3:$EH$3=$J$3,N23:EH23))</f>
        <v>0</v>
      </c>
      <c r="K23" s="11" cm="1">
        <f t="array" ref="K23">MAX(IF($N$3:$EH$3=$J$3,N23:EH23))</f>
        <v>0</v>
      </c>
      <c r="L23" s="9"/>
      <c r="O23" s="10"/>
      <c r="P23" s="10">
        <v>0.8</v>
      </c>
      <c r="Q23" s="10"/>
      <c r="R23" s="10">
        <v>0.8</v>
      </c>
      <c r="V23" s="10"/>
      <c r="W23" s="10">
        <v>0.8</v>
      </c>
      <c r="X23" s="10"/>
      <c r="Y23" s="10">
        <v>0.8</v>
      </c>
      <c r="AC23" s="10"/>
      <c r="AD23" s="10">
        <v>1</v>
      </c>
      <c r="AE23" s="10"/>
      <c r="AF23" s="10">
        <v>1</v>
      </c>
      <c r="AJ23" s="10"/>
      <c r="AK23" s="10">
        <v>1</v>
      </c>
      <c r="AL23" s="10"/>
      <c r="AM23" s="10">
        <v>1</v>
      </c>
      <c r="AQ23" s="10"/>
      <c r="AR23" s="10">
        <v>1</v>
      </c>
      <c r="AS23" s="10"/>
      <c r="AT23" s="10">
        <v>1</v>
      </c>
      <c r="AX23" s="10"/>
      <c r="AY23" s="10"/>
      <c r="AZ23" s="10"/>
      <c r="BA23" s="10"/>
      <c r="BE23" s="10"/>
      <c r="BF23" s="10">
        <v>1</v>
      </c>
      <c r="BG23" s="10"/>
      <c r="BH23" s="10">
        <v>1</v>
      </c>
      <c r="BL23" s="10"/>
      <c r="BM23" s="10"/>
      <c r="BN23" s="10"/>
      <c r="BO23" s="10"/>
      <c r="BS23" s="10"/>
      <c r="BT23" s="10"/>
      <c r="BU23" s="10"/>
      <c r="BV23" s="10"/>
      <c r="BZ23" s="10"/>
      <c r="CA23" s="10"/>
      <c r="CB23" s="10"/>
      <c r="CC23" s="10"/>
      <c r="CG23" s="10"/>
      <c r="CH23" s="10"/>
      <c r="CI23" s="10"/>
      <c r="CJ23" s="10"/>
      <c r="CN23" s="10"/>
      <c r="CO23" s="10"/>
      <c r="CP23" s="10"/>
      <c r="CQ23" s="10"/>
      <c r="CU23" s="10"/>
      <c r="CV23" s="10"/>
      <c r="CW23" s="10"/>
      <c r="CX23" s="10"/>
      <c r="DB23" s="10"/>
      <c r="DC23" s="10"/>
      <c r="DD23" s="10"/>
      <c r="DE23" s="10"/>
      <c r="DI23" s="10"/>
      <c r="DJ23" s="10"/>
      <c r="DK23" s="10"/>
      <c r="DL23" s="10"/>
      <c r="DP23" s="10"/>
      <c r="DQ23" s="10"/>
      <c r="DR23" s="10"/>
      <c r="DS23" s="10"/>
      <c r="DW23" s="10"/>
      <c r="DX23" s="10"/>
      <c r="DY23" s="10"/>
      <c r="DZ23" s="10"/>
      <c r="ED23" s="10"/>
      <c r="EE23" s="10"/>
      <c r="EF23" s="10"/>
      <c r="EG23" s="10"/>
      <c r="EK23" s="10"/>
      <c r="EL23" s="10"/>
      <c r="EM23" s="10"/>
      <c r="EN23" s="10"/>
    </row>
    <row r="24" spans="2:144" ht="16" hidden="1" customHeight="1" outlineLevel="1" x14ac:dyDescent="0.2">
      <c r="B24" t="s">
        <v>29</v>
      </c>
      <c r="C24" t="s">
        <v>2</v>
      </c>
      <c r="E24" s="9"/>
      <c r="F24" t="s">
        <v>32</v>
      </c>
      <c r="G24" s="10"/>
      <c r="I24" s="9">
        <f t="shared" si="2"/>
        <v>0</v>
      </c>
      <c r="J24" s="11" cm="1">
        <f t="array" ref="J24">MAX(IF($N$3:$EH$3=$J$3,N24:EH24))</f>
        <v>0</v>
      </c>
      <c r="K24" s="11" cm="1">
        <f t="array" ref="K24">MAX(IF($N$3:$EH$3=$J$3,N24:EH24))</f>
        <v>0</v>
      </c>
      <c r="L24" s="9"/>
      <c r="O24" s="10"/>
      <c r="P24" s="10">
        <v>0.5</v>
      </c>
      <c r="Q24" s="10"/>
      <c r="R24" s="10">
        <v>0.5</v>
      </c>
      <c r="V24" s="10"/>
      <c r="W24" s="10">
        <v>0.8</v>
      </c>
      <c r="X24" s="10"/>
      <c r="Y24" s="10">
        <v>0.8</v>
      </c>
      <c r="AC24" s="10"/>
      <c r="AD24" s="10">
        <v>1</v>
      </c>
      <c r="AE24" s="10"/>
      <c r="AF24" s="10">
        <v>1</v>
      </c>
      <c r="AJ24" s="10"/>
      <c r="AK24" s="10">
        <v>1</v>
      </c>
      <c r="AL24" s="10"/>
      <c r="AM24" s="10">
        <v>1</v>
      </c>
      <c r="AQ24" s="10"/>
      <c r="AR24" s="10">
        <v>1</v>
      </c>
      <c r="AS24" s="10"/>
      <c r="AT24" s="10">
        <v>1</v>
      </c>
      <c r="AX24" s="10"/>
      <c r="AY24" s="10"/>
      <c r="AZ24" s="10"/>
      <c r="BA24" s="10"/>
      <c r="BE24" s="10"/>
      <c r="BF24" s="10">
        <v>1</v>
      </c>
      <c r="BG24" s="10"/>
      <c r="BH24" s="10">
        <v>1</v>
      </c>
      <c r="BL24" s="10"/>
      <c r="BM24" s="10"/>
      <c r="BN24" s="10"/>
      <c r="BO24" s="10"/>
      <c r="BS24" s="10"/>
      <c r="BT24" s="10"/>
      <c r="BU24" s="10"/>
      <c r="BV24" s="10"/>
      <c r="BZ24" s="10"/>
      <c r="CA24" s="10"/>
      <c r="CB24" s="10"/>
      <c r="CC24" s="10"/>
      <c r="CG24" s="10"/>
      <c r="CH24" s="10"/>
      <c r="CI24" s="10"/>
      <c r="CJ24" s="10"/>
      <c r="CN24" s="10"/>
      <c r="CO24" s="10"/>
      <c r="CP24" s="10"/>
      <c r="CQ24" s="10"/>
      <c r="CU24" s="10"/>
      <c r="CV24" s="10"/>
      <c r="CW24" s="10"/>
      <c r="CX24" s="10"/>
      <c r="DB24" s="10"/>
      <c r="DC24" s="10"/>
      <c r="DD24" s="10"/>
      <c r="DE24" s="10"/>
      <c r="DI24" s="10"/>
      <c r="DJ24" s="10"/>
      <c r="DK24" s="10"/>
      <c r="DL24" s="10"/>
      <c r="DP24" s="10"/>
      <c r="DQ24" s="10"/>
      <c r="DR24" s="10"/>
      <c r="DS24" s="10"/>
      <c r="DW24" s="10"/>
      <c r="DX24" s="10"/>
      <c r="DY24" s="10"/>
      <c r="DZ24" s="10"/>
      <c r="ED24" s="10"/>
      <c r="EE24" s="10"/>
      <c r="EF24" s="10"/>
      <c r="EG24" s="10"/>
      <c r="EK24" s="10"/>
      <c r="EL24" s="10"/>
      <c r="EM24" s="10"/>
      <c r="EN24" s="10"/>
    </row>
    <row r="25" spans="2:144" ht="16" hidden="1" customHeight="1" outlineLevel="1" x14ac:dyDescent="0.2">
      <c r="B25" t="s">
        <v>29</v>
      </c>
      <c r="C25" t="s">
        <v>2</v>
      </c>
      <c r="E25" s="9"/>
      <c r="F25" t="s">
        <v>33</v>
      </c>
      <c r="G25" s="10"/>
      <c r="I25" s="9">
        <f t="shared" si="2"/>
        <v>0</v>
      </c>
      <c r="J25" s="11" cm="1">
        <f t="array" ref="J25">MAX(IF($N$3:$EH$3=$J$3,N25:EH25))</f>
        <v>0</v>
      </c>
      <c r="K25" s="11" cm="1">
        <f t="array" ref="K25">MAX(IF($N$3:$EH$3=$J$3,N25:EH25))</f>
        <v>0</v>
      </c>
      <c r="L25" s="9"/>
      <c r="O25" s="10"/>
      <c r="P25" s="10">
        <v>0.3</v>
      </c>
      <c r="Q25" s="10"/>
      <c r="R25" s="10">
        <v>0.3</v>
      </c>
      <c r="V25" s="10"/>
      <c r="W25" s="10">
        <v>0.5</v>
      </c>
      <c r="X25" s="10"/>
      <c r="Y25" s="10">
        <v>0.5</v>
      </c>
      <c r="AC25" s="10"/>
      <c r="AD25" s="10">
        <v>0.8</v>
      </c>
      <c r="AE25" s="10"/>
      <c r="AF25" s="10">
        <v>0.8</v>
      </c>
      <c r="AJ25" s="10"/>
      <c r="AK25" s="10">
        <v>1</v>
      </c>
      <c r="AL25" s="10"/>
      <c r="AM25" s="10">
        <v>1</v>
      </c>
      <c r="AQ25" s="10"/>
      <c r="AR25" s="10">
        <v>1</v>
      </c>
      <c r="AS25" s="10"/>
      <c r="AT25" s="10">
        <v>1</v>
      </c>
      <c r="AX25" s="10"/>
      <c r="AY25" s="10"/>
      <c r="AZ25" s="10"/>
      <c r="BA25" s="10"/>
      <c r="BE25" s="10"/>
      <c r="BF25" s="10">
        <v>1</v>
      </c>
      <c r="BG25" s="10"/>
      <c r="BH25" s="10">
        <v>1</v>
      </c>
      <c r="BL25" s="10"/>
      <c r="BM25" s="10"/>
      <c r="BN25" s="10"/>
      <c r="BO25" s="10"/>
      <c r="BS25" s="10"/>
      <c r="BT25" s="10"/>
      <c r="BU25" s="10"/>
      <c r="BV25" s="10"/>
      <c r="BZ25" s="10"/>
      <c r="CA25" s="10"/>
      <c r="CB25" s="10"/>
      <c r="CC25" s="10"/>
      <c r="CG25" s="10"/>
      <c r="CH25" s="10"/>
      <c r="CI25" s="10"/>
      <c r="CJ25" s="10"/>
      <c r="CN25" s="10"/>
      <c r="CO25" s="10"/>
      <c r="CP25" s="10"/>
      <c r="CQ25" s="10"/>
      <c r="CU25" s="10"/>
      <c r="CV25" s="10"/>
      <c r="CW25" s="10"/>
      <c r="CX25" s="10"/>
      <c r="DB25" s="10"/>
      <c r="DC25" s="10"/>
      <c r="DD25" s="10"/>
      <c r="DE25" s="10"/>
      <c r="DI25" s="10"/>
      <c r="DJ25" s="10"/>
      <c r="DK25" s="10"/>
      <c r="DL25" s="10"/>
      <c r="DP25" s="10"/>
      <c r="DQ25" s="10"/>
      <c r="DR25" s="10"/>
      <c r="DS25" s="10"/>
      <c r="DW25" s="10"/>
      <c r="DX25" s="10"/>
      <c r="DY25" s="10"/>
      <c r="DZ25" s="10"/>
      <c r="ED25" s="10"/>
      <c r="EE25" s="10"/>
      <c r="EF25" s="10"/>
      <c r="EG25" s="10"/>
      <c r="EK25" s="10"/>
      <c r="EL25" s="10"/>
      <c r="EM25" s="10"/>
      <c r="EN25" s="10"/>
    </row>
    <row r="26" spans="2:144" ht="16" hidden="1" customHeight="1" outlineLevel="1" x14ac:dyDescent="0.2">
      <c r="B26" t="s">
        <v>29</v>
      </c>
      <c r="C26" t="s">
        <v>2</v>
      </c>
      <c r="E26" s="9"/>
      <c r="F26" t="s">
        <v>35</v>
      </c>
      <c r="G26" s="10"/>
      <c r="I26" s="9">
        <f t="shared" si="2"/>
        <v>0</v>
      </c>
      <c r="J26" s="11" cm="1">
        <f t="array" ref="J26">MAX(IF($N$3:$EH$3=$J$3,N26:EH26))</f>
        <v>0</v>
      </c>
      <c r="K26" s="11" cm="1">
        <f t="array" ref="K26">MAX(IF($N$3:$EH$3=$J$3,N26:EH26))</f>
        <v>0</v>
      </c>
      <c r="L26" s="9"/>
      <c r="O26" s="10"/>
      <c r="P26" s="10">
        <v>0.3</v>
      </c>
      <c r="Q26" s="10"/>
      <c r="R26" s="10">
        <v>0.3</v>
      </c>
      <c r="V26" s="10"/>
      <c r="W26" s="10">
        <v>0.5</v>
      </c>
      <c r="X26" s="10"/>
      <c r="Y26" s="10">
        <v>0.5</v>
      </c>
      <c r="AC26" s="10"/>
      <c r="AD26" s="10">
        <v>0.8</v>
      </c>
      <c r="AE26" s="10"/>
      <c r="AF26" s="10">
        <v>0.8</v>
      </c>
      <c r="AJ26" s="10"/>
      <c r="AK26" s="10">
        <v>1</v>
      </c>
      <c r="AL26" s="10"/>
      <c r="AM26" s="10">
        <v>1</v>
      </c>
      <c r="AQ26" s="10"/>
      <c r="AR26" s="10">
        <v>1</v>
      </c>
      <c r="AS26" s="10"/>
      <c r="AT26" s="10">
        <v>1</v>
      </c>
      <c r="AX26" s="10"/>
      <c r="AY26" s="10"/>
      <c r="AZ26" s="10"/>
      <c r="BA26" s="10"/>
      <c r="BE26" s="10"/>
      <c r="BF26" s="10">
        <v>1</v>
      </c>
      <c r="BG26" s="10"/>
      <c r="BH26" s="10">
        <v>1</v>
      </c>
      <c r="BL26" s="10"/>
      <c r="BM26" s="10"/>
      <c r="BN26" s="10"/>
      <c r="BO26" s="10"/>
      <c r="BS26" s="10"/>
      <c r="BT26" s="10"/>
      <c r="BU26" s="10"/>
      <c r="BV26" s="10"/>
      <c r="BZ26" s="10"/>
      <c r="CA26" s="10"/>
      <c r="CB26" s="10"/>
      <c r="CC26" s="10"/>
      <c r="CG26" s="10"/>
      <c r="CH26" s="10"/>
      <c r="CI26" s="10"/>
      <c r="CJ26" s="10"/>
      <c r="CN26" s="10"/>
      <c r="CO26" s="10"/>
      <c r="CP26" s="10"/>
      <c r="CQ26" s="10"/>
      <c r="CU26" s="10"/>
      <c r="CV26" s="10"/>
      <c r="CW26" s="10"/>
      <c r="CX26" s="10"/>
      <c r="DB26" s="10"/>
      <c r="DC26" s="10"/>
      <c r="DD26" s="10"/>
      <c r="DE26" s="10"/>
      <c r="DI26" s="10"/>
      <c r="DJ26" s="10"/>
      <c r="DK26" s="10"/>
      <c r="DL26" s="10"/>
      <c r="DP26" s="10"/>
      <c r="DQ26" s="10"/>
      <c r="DR26" s="10"/>
      <c r="DS26" s="10"/>
      <c r="DW26" s="10"/>
      <c r="DX26" s="10"/>
      <c r="DY26" s="10"/>
      <c r="DZ26" s="10"/>
      <c r="ED26" s="10"/>
      <c r="EE26" s="10"/>
      <c r="EF26" s="10"/>
      <c r="EG26" s="10"/>
      <c r="EK26" s="10"/>
      <c r="EL26" s="10"/>
      <c r="EM26" s="10"/>
      <c r="EN26" s="10"/>
    </row>
    <row r="27" spans="2:144" ht="16" hidden="1" customHeight="1" outlineLevel="1" x14ac:dyDescent="0.2">
      <c r="B27" t="s">
        <v>29</v>
      </c>
      <c r="C27" t="s">
        <v>2</v>
      </c>
      <c r="E27" s="9"/>
      <c r="F27" t="s">
        <v>36</v>
      </c>
      <c r="G27" s="10"/>
      <c r="I27" s="9">
        <f t="shared" si="2"/>
        <v>0</v>
      </c>
      <c r="J27" s="11" cm="1">
        <f t="array" ref="J27">MAX(IF($N$3:$EH$3=$J$3,N27:EH27))</f>
        <v>0</v>
      </c>
      <c r="K27" s="11" cm="1">
        <f t="array" ref="K27">MAX(IF($N$3:$EH$3=$J$3,N27:EH27))</f>
        <v>0</v>
      </c>
      <c r="L27" s="9"/>
      <c r="O27" s="10"/>
      <c r="P27" s="10"/>
      <c r="Q27" s="10"/>
      <c r="R27" s="10"/>
      <c r="V27" s="10"/>
      <c r="W27" s="10">
        <v>0.3</v>
      </c>
      <c r="X27" s="10"/>
      <c r="Y27" s="10">
        <v>0.3</v>
      </c>
      <c r="AC27" s="10"/>
      <c r="AD27" s="10">
        <v>0.5</v>
      </c>
      <c r="AE27" s="10"/>
      <c r="AF27" s="10">
        <v>0.5</v>
      </c>
      <c r="AJ27" s="10"/>
      <c r="AK27" s="10">
        <v>0.8</v>
      </c>
      <c r="AL27" s="10"/>
      <c r="AM27" s="10">
        <v>0.8</v>
      </c>
      <c r="AQ27" s="10"/>
      <c r="AR27" s="10">
        <v>1</v>
      </c>
      <c r="AS27" s="10"/>
      <c r="AT27" s="10">
        <v>1</v>
      </c>
      <c r="AX27" s="10"/>
      <c r="AY27" s="10"/>
      <c r="AZ27" s="10"/>
      <c r="BA27" s="10"/>
      <c r="BE27" s="10"/>
      <c r="BF27" s="10">
        <v>1</v>
      </c>
      <c r="BG27" s="10"/>
      <c r="BH27" s="10">
        <v>1</v>
      </c>
      <c r="BL27" s="10"/>
      <c r="BM27" s="10"/>
      <c r="BN27" s="10"/>
      <c r="BO27" s="10"/>
      <c r="BS27" s="10"/>
      <c r="BT27" s="10"/>
      <c r="BU27" s="10"/>
      <c r="BV27" s="10"/>
      <c r="BZ27" s="10"/>
      <c r="CA27" s="10"/>
      <c r="CB27" s="10"/>
      <c r="CC27" s="10"/>
      <c r="CG27" s="10"/>
      <c r="CH27" s="10"/>
      <c r="CI27" s="10"/>
      <c r="CJ27" s="10"/>
      <c r="CN27" s="10"/>
      <c r="CO27" s="10"/>
      <c r="CP27" s="10"/>
      <c r="CQ27" s="10"/>
      <c r="CU27" s="10"/>
      <c r="CV27" s="10"/>
      <c r="CW27" s="10"/>
      <c r="CX27" s="10"/>
      <c r="DB27" s="10"/>
      <c r="DC27" s="10"/>
      <c r="DD27" s="10"/>
      <c r="DE27" s="10"/>
      <c r="DI27" s="10"/>
      <c r="DJ27" s="10"/>
      <c r="DK27" s="10"/>
      <c r="DL27" s="10"/>
      <c r="DP27" s="10"/>
      <c r="DQ27" s="10"/>
      <c r="DR27" s="10"/>
      <c r="DS27" s="10"/>
      <c r="DW27" s="10"/>
      <c r="DX27" s="10"/>
      <c r="DY27" s="10"/>
      <c r="DZ27" s="10"/>
      <c r="ED27" s="10"/>
      <c r="EE27" s="10"/>
      <c r="EF27" s="10"/>
      <c r="EG27" s="10"/>
      <c r="EK27" s="10"/>
      <c r="EL27" s="10"/>
      <c r="EM27" s="10"/>
      <c r="EN27" s="10"/>
    </row>
    <row r="28" spans="2:144" ht="16" hidden="1" customHeight="1" outlineLevel="1" x14ac:dyDescent="0.2">
      <c r="B28" t="s">
        <v>29</v>
      </c>
      <c r="C28" t="s">
        <v>2</v>
      </c>
      <c r="E28" s="9"/>
      <c r="F28" t="s">
        <v>37</v>
      </c>
      <c r="G28" s="10"/>
      <c r="I28" s="9">
        <f t="shared" si="2"/>
        <v>0</v>
      </c>
      <c r="J28" s="11" cm="1">
        <f t="array" ref="J28">MAX(IF($N$3:$EH$3=$J$3,N28:EH28))</f>
        <v>0</v>
      </c>
      <c r="K28" s="11" cm="1">
        <f t="array" ref="K28">MAX(IF($N$3:$EH$3=$J$3,N28:EH28))</f>
        <v>0</v>
      </c>
      <c r="L28" s="9"/>
      <c r="O28" s="10"/>
      <c r="P28" s="10"/>
      <c r="Q28" s="10"/>
      <c r="R28" s="10"/>
      <c r="V28" s="10"/>
      <c r="W28" s="10">
        <v>0.3</v>
      </c>
      <c r="X28" s="10"/>
      <c r="Y28" s="10">
        <v>0.3</v>
      </c>
      <c r="AC28" s="10"/>
      <c r="AD28" s="10">
        <v>0.5</v>
      </c>
      <c r="AE28" s="10"/>
      <c r="AF28" s="10">
        <v>0.5</v>
      </c>
      <c r="AJ28" s="10"/>
      <c r="AK28" s="10">
        <v>0.8</v>
      </c>
      <c r="AL28" s="10"/>
      <c r="AM28" s="10">
        <v>0.8</v>
      </c>
      <c r="AQ28" s="10"/>
      <c r="AR28" s="10">
        <v>1</v>
      </c>
      <c r="AS28" s="10"/>
      <c r="AT28" s="10">
        <v>1</v>
      </c>
      <c r="AX28" s="10"/>
      <c r="AY28" s="10"/>
      <c r="AZ28" s="10"/>
      <c r="BA28" s="10"/>
      <c r="BE28" s="10"/>
      <c r="BF28" s="10">
        <v>1</v>
      </c>
      <c r="BG28" s="10"/>
      <c r="BH28" s="10">
        <v>1</v>
      </c>
      <c r="BL28" s="10"/>
      <c r="BM28" s="10"/>
      <c r="BN28" s="10"/>
      <c r="BO28" s="10"/>
      <c r="BS28" s="10"/>
      <c r="BT28" s="10"/>
      <c r="BU28" s="10"/>
      <c r="BV28" s="10"/>
      <c r="BZ28" s="10"/>
      <c r="CA28" s="10"/>
      <c r="CB28" s="10"/>
      <c r="CC28" s="10"/>
      <c r="CG28" s="10"/>
      <c r="CH28" s="10"/>
      <c r="CI28" s="10"/>
      <c r="CJ28" s="10"/>
      <c r="CN28" s="10"/>
      <c r="CO28" s="10"/>
      <c r="CP28" s="10"/>
      <c r="CQ28" s="10"/>
      <c r="CU28" s="10"/>
      <c r="CV28" s="10"/>
      <c r="CW28" s="10"/>
      <c r="CX28" s="10"/>
      <c r="DB28" s="10"/>
      <c r="DC28" s="10"/>
      <c r="DD28" s="10"/>
      <c r="DE28" s="10"/>
      <c r="DI28" s="10"/>
      <c r="DJ28" s="10"/>
      <c r="DK28" s="10"/>
      <c r="DL28" s="10"/>
      <c r="DP28" s="10"/>
      <c r="DQ28" s="10"/>
      <c r="DR28" s="10"/>
      <c r="DS28" s="10"/>
      <c r="DW28" s="10"/>
      <c r="DX28" s="10"/>
      <c r="DY28" s="10"/>
      <c r="DZ28" s="10"/>
      <c r="ED28" s="10"/>
      <c r="EE28" s="10"/>
      <c r="EF28" s="10"/>
      <c r="EG28" s="10"/>
      <c r="EK28" s="10"/>
      <c r="EL28" s="10"/>
      <c r="EM28" s="10"/>
      <c r="EN28" s="10"/>
    </row>
    <row r="29" spans="2:144" ht="16" hidden="1" customHeight="1" outlineLevel="1" x14ac:dyDescent="0.2">
      <c r="B29" t="s">
        <v>29</v>
      </c>
      <c r="C29" t="s">
        <v>2</v>
      </c>
      <c r="E29" s="9"/>
      <c r="F29" t="s">
        <v>38</v>
      </c>
      <c r="G29" s="10"/>
      <c r="I29" s="9">
        <f t="shared" si="2"/>
        <v>0</v>
      </c>
      <c r="J29" s="11" cm="1">
        <f t="array" ref="J29">MAX(IF($N$3:$EH$3=$J$3,N29:EH29))</f>
        <v>0</v>
      </c>
      <c r="K29" s="11" cm="1">
        <f t="array" ref="K29">MAX(IF($N$3:$EH$3=$J$3,N29:EH29))</f>
        <v>0</v>
      </c>
      <c r="L29" s="9"/>
      <c r="O29" s="10"/>
      <c r="P29" s="10"/>
      <c r="Q29" s="10"/>
      <c r="R29" s="10"/>
      <c r="V29" s="10"/>
      <c r="W29" s="10"/>
      <c r="X29" s="10"/>
      <c r="Y29" s="10"/>
      <c r="AC29" s="10"/>
      <c r="AD29" s="10">
        <v>0.5</v>
      </c>
      <c r="AE29" s="10"/>
      <c r="AF29" s="10">
        <v>0.5</v>
      </c>
      <c r="AJ29" s="10"/>
      <c r="AK29" s="10">
        <v>0.8</v>
      </c>
      <c r="AL29" s="10"/>
      <c r="AM29" s="10">
        <v>0.8</v>
      </c>
      <c r="AQ29" s="10"/>
      <c r="AR29" s="10">
        <v>1</v>
      </c>
      <c r="AS29" s="10"/>
      <c r="AT29" s="10">
        <v>1</v>
      </c>
      <c r="AX29" s="10"/>
      <c r="AY29" s="10"/>
      <c r="AZ29" s="10"/>
      <c r="BA29" s="10"/>
      <c r="BE29" s="10"/>
      <c r="BF29" s="10">
        <v>1</v>
      </c>
      <c r="BG29" s="10"/>
      <c r="BH29" s="10">
        <v>1</v>
      </c>
      <c r="BL29" s="10"/>
      <c r="BM29" s="10"/>
      <c r="BN29" s="10"/>
      <c r="BO29" s="10"/>
      <c r="BS29" s="10"/>
      <c r="BT29" s="10"/>
      <c r="BU29" s="10"/>
      <c r="BV29" s="10"/>
      <c r="BZ29" s="10"/>
      <c r="CA29" s="10"/>
      <c r="CB29" s="10"/>
      <c r="CC29" s="10"/>
      <c r="CG29" s="10"/>
      <c r="CH29" s="10"/>
      <c r="CI29" s="10"/>
      <c r="CJ29" s="10"/>
      <c r="CN29" s="10"/>
      <c r="CO29" s="10"/>
      <c r="CP29" s="10"/>
      <c r="CQ29" s="10"/>
      <c r="CU29" s="10"/>
      <c r="CV29" s="10"/>
      <c r="CW29" s="10"/>
      <c r="CX29" s="10"/>
      <c r="DB29" s="10"/>
      <c r="DC29" s="10"/>
      <c r="DD29" s="10"/>
      <c r="DE29" s="10"/>
      <c r="DI29" s="10"/>
      <c r="DJ29" s="10"/>
      <c r="DK29" s="10"/>
      <c r="DL29" s="10"/>
      <c r="DP29" s="10"/>
      <c r="DQ29" s="10"/>
      <c r="DR29" s="10"/>
      <c r="DS29" s="10"/>
      <c r="DW29" s="10"/>
      <c r="DX29" s="10"/>
      <c r="DY29" s="10"/>
      <c r="DZ29" s="10"/>
      <c r="ED29" s="10"/>
      <c r="EE29" s="10"/>
      <c r="EF29" s="10"/>
      <c r="EG29" s="10"/>
      <c r="EK29" s="10"/>
      <c r="EL29" s="10"/>
      <c r="EM29" s="10"/>
      <c r="EN29" s="10"/>
    </row>
    <row r="30" spans="2:144" ht="16" hidden="1" customHeight="1" outlineLevel="1" x14ac:dyDescent="0.2">
      <c r="B30" t="s">
        <v>29</v>
      </c>
      <c r="C30" t="s">
        <v>2</v>
      </c>
      <c r="E30" s="9"/>
      <c r="F30" t="s">
        <v>39</v>
      </c>
      <c r="G30" s="10"/>
      <c r="I30" s="9">
        <f t="shared" si="2"/>
        <v>0</v>
      </c>
      <c r="J30" s="11" cm="1">
        <f t="array" ref="J30">MAX(IF($N$3:$EH$3=$J$3,N30:EH30))</f>
        <v>0</v>
      </c>
      <c r="K30" s="11" cm="1">
        <f t="array" ref="K30">MAX(IF($N$3:$EH$3=$J$3,N30:EH30))</f>
        <v>0</v>
      </c>
      <c r="L30" s="9"/>
      <c r="O30" s="10"/>
      <c r="P30" s="10"/>
      <c r="Q30" s="10"/>
      <c r="R30" s="10"/>
      <c r="V30" s="10"/>
      <c r="W30" s="10"/>
      <c r="X30" s="10"/>
      <c r="Y30" s="10"/>
      <c r="AC30" s="10"/>
      <c r="AD30" s="10">
        <v>0.5</v>
      </c>
      <c r="AE30" s="10"/>
      <c r="AF30" s="10">
        <v>0.5</v>
      </c>
      <c r="AJ30" s="10"/>
      <c r="AK30" s="10">
        <v>0.8</v>
      </c>
      <c r="AL30" s="10"/>
      <c r="AM30" s="10">
        <v>0.8</v>
      </c>
      <c r="AQ30" s="10"/>
      <c r="AR30" s="10">
        <v>1</v>
      </c>
      <c r="AS30" s="10"/>
      <c r="AT30" s="10">
        <v>1</v>
      </c>
      <c r="AX30" s="10"/>
      <c r="AY30" s="10"/>
      <c r="AZ30" s="10"/>
      <c r="BA30" s="10"/>
      <c r="BE30" s="10"/>
      <c r="BF30" s="10">
        <v>1</v>
      </c>
      <c r="BG30" s="10"/>
      <c r="BH30" s="10">
        <v>1</v>
      </c>
      <c r="BL30" s="10"/>
      <c r="BM30" s="10"/>
      <c r="BN30" s="10"/>
      <c r="BO30" s="10"/>
      <c r="BS30" s="10"/>
      <c r="BT30" s="10"/>
      <c r="BU30" s="10"/>
      <c r="BV30" s="10"/>
      <c r="BZ30" s="10"/>
      <c r="CA30" s="10"/>
      <c r="CB30" s="10"/>
      <c r="CC30" s="10"/>
      <c r="CG30" s="10"/>
      <c r="CH30" s="10"/>
      <c r="CI30" s="10"/>
      <c r="CJ30" s="10"/>
      <c r="CN30" s="10"/>
      <c r="CO30" s="10"/>
      <c r="CP30" s="10"/>
      <c r="CQ30" s="10"/>
      <c r="CU30" s="10"/>
      <c r="CV30" s="10"/>
      <c r="CW30" s="10"/>
      <c r="CX30" s="10"/>
      <c r="DB30" s="10"/>
      <c r="DC30" s="10"/>
      <c r="DD30" s="10"/>
      <c r="DE30" s="10"/>
      <c r="DI30" s="10"/>
      <c r="DJ30" s="10"/>
      <c r="DK30" s="10"/>
      <c r="DL30" s="10"/>
      <c r="DP30" s="10"/>
      <c r="DQ30" s="10"/>
      <c r="DR30" s="10"/>
      <c r="DS30" s="10"/>
      <c r="DW30" s="10"/>
      <c r="DX30" s="10"/>
      <c r="DY30" s="10"/>
      <c r="DZ30" s="10"/>
      <c r="ED30" s="10"/>
      <c r="EE30" s="10"/>
      <c r="EF30" s="10"/>
      <c r="EG30" s="10"/>
      <c r="EK30" s="10"/>
      <c r="EL30" s="10"/>
      <c r="EM30" s="10"/>
      <c r="EN30" s="10"/>
    </row>
    <row r="31" spans="2:144" ht="16" hidden="1" customHeight="1" outlineLevel="1" x14ac:dyDescent="0.2">
      <c r="B31" t="s">
        <v>29</v>
      </c>
      <c r="C31" t="s">
        <v>2</v>
      </c>
      <c r="E31" s="9"/>
      <c r="F31" t="s">
        <v>40</v>
      </c>
      <c r="G31" s="10"/>
      <c r="I31" s="9">
        <f t="shared" si="2"/>
        <v>0</v>
      </c>
      <c r="J31" s="11" cm="1">
        <f t="array" ref="J31">MAX(IF($N$3:$EH$3=$J$3,N31:EH31))</f>
        <v>0</v>
      </c>
      <c r="K31" s="11" cm="1">
        <f t="array" ref="K31">MAX(IF($N$3:$EH$3=$J$3,N31:EH31))</f>
        <v>0</v>
      </c>
      <c r="L31" s="9"/>
      <c r="O31" s="10"/>
      <c r="P31" s="10"/>
      <c r="Q31" s="10"/>
      <c r="R31" s="10"/>
      <c r="V31" s="10"/>
      <c r="W31" s="10"/>
      <c r="X31" s="10"/>
      <c r="Y31" s="10"/>
      <c r="AC31" s="10"/>
      <c r="AD31" s="10">
        <v>0.3</v>
      </c>
      <c r="AE31" s="10"/>
      <c r="AF31" s="10">
        <v>0.3</v>
      </c>
      <c r="AJ31" s="10"/>
      <c r="AK31" s="10">
        <v>0.5</v>
      </c>
      <c r="AL31" s="10"/>
      <c r="AM31" s="10">
        <v>0.5</v>
      </c>
      <c r="AQ31" s="10"/>
      <c r="AR31" s="10">
        <v>1</v>
      </c>
      <c r="AS31" s="10"/>
      <c r="AT31" s="10">
        <v>1</v>
      </c>
      <c r="AX31" s="10"/>
      <c r="AY31" s="10"/>
      <c r="AZ31" s="10"/>
      <c r="BA31" s="10"/>
      <c r="BE31" s="10"/>
      <c r="BF31" s="10">
        <v>1</v>
      </c>
      <c r="BG31" s="10"/>
      <c r="BH31" s="10">
        <v>1</v>
      </c>
      <c r="BL31" s="10"/>
      <c r="BM31" s="10"/>
      <c r="BN31" s="10"/>
      <c r="BO31" s="10"/>
      <c r="BS31" s="10"/>
      <c r="BT31" s="10"/>
      <c r="BU31" s="10"/>
      <c r="BV31" s="10"/>
      <c r="BZ31" s="10"/>
      <c r="CA31" s="10"/>
      <c r="CB31" s="10"/>
      <c r="CC31" s="10"/>
      <c r="CG31" s="10"/>
      <c r="CH31" s="10"/>
      <c r="CI31" s="10"/>
      <c r="CJ31" s="10"/>
      <c r="CN31" s="10"/>
      <c r="CO31" s="10"/>
      <c r="CP31" s="10"/>
      <c r="CQ31" s="10"/>
      <c r="CU31" s="10"/>
      <c r="CV31" s="10"/>
      <c r="CW31" s="10"/>
      <c r="CX31" s="10"/>
      <c r="DB31" s="10"/>
      <c r="DC31" s="10"/>
      <c r="DD31" s="10"/>
      <c r="DE31" s="10"/>
      <c r="DI31" s="10"/>
      <c r="DJ31" s="10"/>
      <c r="DK31" s="10"/>
      <c r="DL31" s="10"/>
      <c r="DP31" s="10"/>
      <c r="DQ31" s="10"/>
      <c r="DR31" s="10"/>
      <c r="DS31" s="10"/>
      <c r="DW31" s="10"/>
      <c r="DX31" s="10"/>
      <c r="DY31" s="10"/>
      <c r="DZ31" s="10"/>
      <c r="ED31" s="10"/>
      <c r="EE31" s="10"/>
      <c r="EF31" s="10"/>
      <c r="EG31" s="10"/>
      <c r="EK31" s="10"/>
      <c r="EL31" s="10"/>
      <c r="EM31" s="10"/>
      <c r="EN31" s="10"/>
    </row>
    <row r="32" spans="2:144" ht="16" hidden="1" customHeight="1" outlineLevel="1" x14ac:dyDescent="0.2">
      <c r="B32" t="s">
        <v>29</v>
      </c>
      <c r="C32" t="s">
        <v>2</v>
      </c>
      <c r="E32" s="9"/>
      <c r="F32" t="s">
        <v>41</v>
      </c>
      <c r="G32" s="10"/>
      <c r="I32" s="9">
        <f t="shared" si="2"/>
        <v>0</v>
      </c>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v>0.5</v>
      </c>
      <c r="AL32" s="10"/>
      <c r="AM32" s="10">
        <v>0.5</v>
      </c>
      <c r="AQ32" s="10"/>
      <c r="AR32" s="10">
        <v>1</v>
      </c>
      <c r="AS32" s="10"/>
      <c r="AT32" s="10">
        <v>1</v>
      </c>
      <c r="AX32" s="10"/>
      <c r="AY32" s="10"/>
      <c r="AZ32" s="10"/>
      <c r="BA32" s="10"/>
      <c r="BE32" s="10"/>
      <c r="BF32" s="10">
        <v>1</v>
      </c>
      <c r="BG32" s="10"/>
      <c r="BH32" s="10">
        <v>1</v>
      </c>
      <c r="BL32" s="10"/>
      <c r="BM32" s="10"/>
      <c r="BN32" s="10"/>
      <c r="BO32" s="10"/>
      <c r="BS32" s="10"/>
      <c r="BT32" s="10"/>
      <c r="BU32" s="10"/>
      <c r="BV32" s="10"/>
      <c r="BZ32" s="10"/>
      <c r="CA32" s="10"/>
      <c r="CB32" s="10"/>
      <c r="CC32" s="10"/>
      <c r="CG32" s="10"/>
      <c r="CH32" s="10"/>
      <c r="CI32" s="10"/>
      <c r="CJ32" s="10"/>
      <c r="CN32" s="10"/>
      <c r="CO32" s="10"/>
      <c r="CP32" s="10"/>
      <c r="CQ32" s="10"/>
      <c r="CU32" s="10"/>
      <c r="CV32" s="10"/>
      <c r="CW32" s="10"/>
      <c r="CX32" s="10"/>
      <c r="DB32" s="10"/>
      <c r="DC32" s="10"/>
      <c r="DD32" s="10"/>
      <c r="DE32" s="10"/>
      <c r="DI32" s="10"/>
      <c r="DJ32" s="10"/>
      <c r="DK32" s="10"/>
      <c r="DL32" s="10"/>
      <c r="DP32" s="10"/>
      <c r="DQ32" s="10"/>
      <c r="DR32" s="10"/>
      <c r="DS32" s="10"/>
      <c r="DW32" s="10"/>
      <c r="DX32" s="10"/>
      <c r="DY32" s="10"/>
      <c r="DZ32" s="10"/>
      <c r="ED32" s="10"/>
      <c r="EE32" s="10"/>
      <c r="EF32" s="10"/>
      <c r="EG32" s="10"/>
      <c r="EK32" s="10"/>
      <c r="EL32" s="10"/>
      <c r="EM32" s="10"/>
      <c r="EN32" s="10"/>
    </row>
    <row r="33" spans="2:144" ht="16" hidden="1" customHeight="1" outlineLevel="1" x14ac:dyDescent="0.2">
      <c r="B33" t="s">
        <v>29</v>
      </c>
      <c r="C33" t="s">
        <v>2</v>
      </c>
      <c r="E33" s="9"/>
      <c r="F33" t="s">
        <v>42</v>
      </c>
      <c r="G33" s="10"/>
      <c r="I33" s="9">
        <f t="shared" si="2"/>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v>0.5</v>
      </c>
      <c r="AL33" s="10"/>
      <c r="AM33" s="10">
        <v>0.5</v>
      </c>
      <c r="AQ33" s="10"/>
      <c r="AR33" s="10">
        <v>1</v>
      </c>
      <c r="AS33" s="10"/>
      <c r="AT33" s="10">
        <v>1</v>
      </c>
      <c r="AX33" s="10"/>
      <c r="AY33" s="10"/>
      <c r="AZ33" s="10"/>
      <c r="BA33" s="10"/>
      <c r="BE33" s="10"/>
      <c r="BF33" s="10">
        <v>1</v>
      </c>
      <c r="BG33" s="10"/>
      <c r="BH33" s="10">
        <v>1</v>
      </c>
      <c r="BL33" s="10"/>
      <c r="BM33" s="10"/>
      <c r="BN33" s="10"/>
      <c r="BO33" s="10"/>
      <c r="BS33" s="10"/>
      <c r="BT33" s="10"/>
      <c r="BU33" s="10"/>
      <c r="BV33" s="10"/>
      <c r="BZ33" s="10"/>
      <c r="CA33" s="10"/>
      <c r="CB33" s="10"/>
      <c r="CC33" s="10"/>
      <c r="CG33" s="10"/>
      <c r="CH33" s="10"/>
      <c r="CI33" s="10"/>
      <c r="CJ33" s="10"/>
      <c r="CN33" s="10"/>
      <c r="CO33" s="10"/>
      <c r="CP33" s="10"/>
      <c r="CQ33" s="10"/>
      <c r="CU33" s="10"/>
      <c r="CV33" s="10"/>
      <c r="CW33" s="10"/>
      <c r="CX33" s="10"/>
      <c r="DB33" s="10"/>
      <c r="DC33" s="10"/>
      <c r="DD33" s="10"/>
      <c r="DE33" s="10"/>
      <c r="DI33" s="10"/>
      <c r="DJ33" s="10"/>
      <c r="DK33" s="10"/>
      <c r="DL33" s="10"/>
      <c r="DP33" s="10"/>
      <c r="DQ33" s="10"/>
      <c r="DR33" s="10"/>
      <c r="DS33" s="10"/>
      <c r="DW33" s="10"/>
      <c r="DX33" s="10"/>
      <c r="DY33" s="10"/>
      <c r="DZ33" s="10"/>
      <c r="ED33" s="10"/>
      <c r="EE33" s="10"/>
      <c r="EF33" s="10"/>
      <c r="EG33" s="10"/>
      <c r="EK33" s="10"/>
      <c r="EL33" s="10"/>
      <c r="EM33" s="10"/>
      <c r="EN33" s="10"/>
    </row>
    <row r="34" spans="2:144" collapsed="1" x14ac:dyDescent="0.2"/>
    <row r="35" spans="2:144" x14ac:dyDescent="0.2">
      <c r="B35" t="s">
        <v>28</v>
      </c>
      <c r="C35" t="s">
        <v>112</v>
      </c>
      <c r="D35" s="19">
        <v>44986</v>
      </c>
      <c r="E35" s="9">
        <v>10</v>
      </c>
      <c r="G35" s="10">
        <f>+SUM(G36:G42)</f>
        <v>0</v>
      </c>
      <c r="I35" s="12">
        <f>+SUM(I36:I42)</f>
        <v>0</v>
      </c>
      <c r="J35" s="11">
        <f>+SUMPRODUCT(G36:G42,J36:J42)</f>
        <v>0</v>
      </c>
      <c r="K35" s="11">
        <f>+SUMPRODUCT(G36:G42,K36:K42)</f>
        <v>0</v>
      </c>
      <c r="L35" s="9"/>
      <c r="N35" s="12">
        <f>+SUM(N36:N42)</f>
        <v>0</v>
      </c>
      <c r="U35" s="12">
        <f>+SUM(U36:U42)</f>
        <v>0</v>
      </c>
      <c r="AB35" s="12">
        <f>+SUM(AB36:AB42)</f>
        <v>0</v>
      </c>
      <c r="AI35" s="12">
        <f>+SUM(AI36:AI42)</f>
        <v>0</v>
      </c>
      <c r="AP35" s="12">
        <f>+SUM(AP36:AP42)</f>
        <v>0</v>
      </c>
    </row>
    <row r="36" spans="2:144" ht="16" hidden="1" customHeight="1" outlineLevel="1" x14ac:dyDescent="0.2">
      <c r="B36" t="s">
        <v>29</v>
      </c>
      <c r="C36" t="s">
        <v>106</v>
      </c>
      <c r="E36" s="9"/>
      <c r="F36" t="s">
        <v>31</v>
      </c>
      <c r="G36" s="10"/>
      <c r="I36" s="9">
        <f t="shared" ref="I36:I54" si="3">+SUMIF($N$3:$ZZ$3,I$3,$N36:$ZZ36)</f>
        <v>0</v>
      </c>
      <c r="J36" s="11" cm="1">
        <f t="array" ref="J36">MAX(IF($N$3:$EH$3=$J$3,N36:EH36))</f>
        <v>0</v>
      </c>
      <c r="K36" s="11" cm="1">
        <f t="array" ref="K36">MAX(IF($N$3:$EH$3=$J$3,N36:EH36))</f>
        <v>0</v>
      </c>
      <c r="L36" s="9"/>
      <c r="O36" s="10"/>
      <c r="P36" s="10">
        <v>0.8</v>
      </c>
      <c r="Q36" s="10"/>
      <c r="R36" s="10">
        <v>0.8</v>
      </c>
      <c r="V36" s="10"/>
      <c r="W36" s="10">
        <v>0.8</v>
      </c>
      <c r="X36" s="10"/>
      <c r="Y36" s="10">
        <v>0.8</v>
      </c>
      <c r="AC36" s="10"/>
      <c r="AD36" s="10">
        <v>1</v>
      </c>
      <c r="AE36" s="10"/>
      <c r="AF36" s="10">
        <v>1</v>
      </c>
      <c r="AJ36" s="10"/>
      <c r="AK36" s="10">
        <v>1</v>
      </c>
      <c r="AL36" s="10"/>
      <c r="AM36" s="10">
        <v>1</v>
      </c>
      <c r="AQ36" s="10"/>
      <c r="AR36" s="10">
        <v>1</v>
      </c>
      <c r="AS36" s="10"/>
      <c r="AT36" s="10">
        <v>1</v>
      </c>
      <c r="AX36" s="10"/>
      <c r="AY36" s="10"/>
      <c r="AZ36" s="10"/>
      <c r="BA36" s="10"/>
      <c r="BE36" s="10"/>
      <c r="BF36" s="10"/>
      <c r="BG36" s="10"/>
      <c r="BH36" s="10"/>
      <c r="BL36" s="10"/>
      <c r="BM36" s="10"/>
      <c r="BN36" s="10"/>
      <c r="BO36" s="10"/>
      <c r="BS36" s="10"/>
      <c r="BT36" s="10">
        <v>1</v>
      </c>
      <c r="BU36" s="10"/>
      <c r="BV36" s="10">
        <v>1</v>
      </c>
      <c r="BZ36" s="10"/>
      <c r="CA36" s="10">
        <v>1</v>
      </c>
      <c r="CB36" s="10"/>
      <c r="CC36" s="10">
        <v>1</v>
      </c>
      <c r="CG36" s="10"/>
      <c r="CH36" s="10">
        <v>1</v>
      </c>
      <c r="CI36" s="10"/>
      <c r="CJ36" s="10">
        <v>1</v>
      </c>
      <c r="CN36" s="10"/>
      <c r="CO36" s="10"/>
      <c r="CP36" s="10"/>
      <c r="CQ36" s="10"/>
      <c r="CU36" s="10"/>
      <c r="CV36" s="10"/>
      <c r="CW36" s="10"/>
      <c r="CX36" s="10"/>
      <c r="DB36" s="10"/>
      <c r="DC36" s="10"/>
      <c r="DD36" s="10"/>
      <c r="DE36" s="10"/>
      <c r="DI36" s="10"/>
      <c r="DJ36" s="10"/>
      <c r="DK36" s="10"/>
      <c r="DL36" s="10"/>
      <c r="DP36" s="10"/>
      <c r="DQ36" s="10"/>
      <c r="DR36" s="10"/>
      <c r="DS36" s="10"/>
      <c r="DW36" s="10"/>
      <c r="DX36" s="10"/>
      <c r="DY36" s="10"/>
      <c r="DZ36" s="10"/>
      <c r="ED36" s="10"/>
      <c r="EE36" s="10"/>
      <c r="EF36" s="10"/>
      <c r="EG36" s="10"/>
      <c r="EK36" s="10"/>
      <c r="EL36" s="10"/>
      <c r="EM36" s="10"/>
      <c r="EN36" s="10"/>
    </row>
    <row r="37" spans="2:144" ht="16" hidden="1" customHeight="1" outlineLevel="1" x14ac:dyDescent="0.2">
      <c r="B37" t="s">
        <v>29</v>
      </c>
      <c r="C37" t="s">
        <v>106</v>
      </c>
      <c r="E37" s="9"/>
      <c r="F37" t="s">
        <v>107</v>
      </c>
      <c r="G37" s="10"/>
      <c r="I37" s="9">
        <f t="shared" si="3"/>
        <v>0</v>
      </c>
      <c r="J37" s="11" cm="1">
        <f t="array" ref="J37">MAX(IF($N$3:$EH$3=$J$3,N37:EH37))</f>
        <v>0</v>
      </c>
      <c r="K37" s="11" cm="1">
        <f t="array" ref="K37">MAX(IF($N$3:$EH$3=$J$3,N37:EH37))</f>
        <v>0</v>
      </c>
      <c r="L37" s="9"/>
      <c r="O37" s="10"/>
      <c r="P37" s="10">
        <v>0.5</v>
      </c>
      <c r="Q37" s="10"/>
      <c r="R37" s="10">
        <v>0.5</v>
      </c>
      <c r="V37" s="10"/>
      <c r="W37" s="10">
        <v>0.8</v>
      </c>
      <c r="X37" s="10"/>
      <c r="Y37" s="10">
        <v>0.8</v>
      </c>
      <c r="AC37" s="10"/>
      <c r="AD37" s="10">
        <v>1</v>
      </c>
      <c r="AE37" s="10"/>
      <c r="AF37" s="10">
        <v>1</v>
      </c>
      <c r="AJ37" s="10"/>
      <c r="AK37" s="10">
        <v>1</v>
      </c>
      <c r="AL37" s="10"/>
      <c r="AM37" s="10">
        <v>1</v>
      </c>
      <c r="AQ37" s="10"/>
      <c r="AR37" s="10">
        <v>1</v>
      </c>
      <c r="AS37" s="10"/>
      <c r="AT37" s="10">
        <v>1</v>
      </c>
      <c r="AX37" s="10"/>
      <c r="AY37" s="10"/>
      <c r="AZ37" s="10"/>
      <c r="BA37" s="10"/>
      <c r="BE37" s="10"/>
      <c r="BF37" s="10"/>
      <c r="BG37" s="10"/>
      <c r="BH37" s="10"/>
      <c r="BL37" s="10"/>
      <c r="BM37" s="10"/>
      <c r="BN37" s="10"/>
      <c r="BO37" s="10"/>
      <c r="BS37" s="10"/>
      <c r="BT37" s="10">
        <v>1</v>
      </c>
      <c r="BU37" s="10"/>
      <c r="BV37" s="10">
        <v>1</v>
      </c>
      <c r="BZ37" s="10"/>
      <c r="CA37" s="10">
        <v>1</v>
      </c>
      <c r="CB37" s="10"/>
      <c r="CC37" s="10">
        <v>1</v>
      </c>
      <c r="CG37" s="10"/>
      <c r="CH37" s="10">
        <v>1</v>
      </c>
      <c r="CI37" s="10"/>
      <c r="CJ37" s="10">
        <v>1</v>
      </c>
      <c r="CN37" s="10"/>
      <c r="CO37" s="10"/>
      <c r="CP37" s="10"/>
      <c r="CQ37" s="10"/>
      <c r="CU37" s="10"/>
      <c r="CV37" s="10"/>
      <c r="CW37" s="10"/>
      <c r="CX37" s="10"/>
      <c r="DB37" s="10"/>
      <c r="DC37" s="10"/>
      <c r="DD37" s="10"/>
      <c r="DE37" s="10"/>
      <c r="DI37" s="10"/>
      <c r="DJ37" s="10"/>
      <c r="DK37" s="10"/>
      <c r="DL37" s="10"/>
      <c r="DP37" s="10"/>
      <c r="DQ37" s="10"/>
      <c r="DR37" s="10"/>
      <c r="DS37" s="10"/>
      <c r="DW37" s="10"/>
      <c r="DX37" s="10"/>
      <c r="DY37" s="10"/>
      <c r="DZ37" s="10"/>
      <c r="ED37" s="10"/>
      <c r="EE37" s="10"/>
      <c r="EF37" s="10"/>
      <c r="EG37" s="10"/>
      <c r="EK37" s="10"/>
      <c r="EL37" s="10"/>
      <c r="EM37" s="10"/>
      <c r="EN37" s="10"/>
    </row>
    <row r="38" spans="2:144" ht="16" hidden="1" customHeight="1" outlineLevel="1" x14ac:dyDescent="0.2">
      <c r="B38" t="s">
        <v>29</v>
      </c>
      <c r="C38" t="s">
        <v>106</v>
      </c>
      <c r="E38" s="9"/>
      <c r="F38" t="s">
        <v>38</v>
      </c>
      <c r="G38" s="10"/>
      <c r="I38" s="9">
        <f t="shared" si="3"/>
        <v>0</v>
      </c>
      <c r="J38" s="11" cm="1">
        <f t="array" ref="J38">MAX(IF($N$3:$EH$3=$J$3,N38:EH38))</f>
        <v>0</v>
      </c>
      <c r="K38" s="11" cm="1">
        <f t="array" ref="K38">MAX(IF($N$3:$EH$3=$J$3,N38:EH38))</f>
        <v>0</v>
      </c>
      <c r="L38" s="9"/>
      <c r="O38" s="10"/>
      <c r="P38" s="10"/>
      <c r="Q38" s="10"/>
      <c r="R38" s="10"/>
      <c r="V38" s="10"/>
      <c r="W38" s="10"/>
      <c r="X38" s="10"/>
      <c r="Y38" s="10"/>
      <c r="AC38" s="10"/>
      <c r="AD38" s="10">
        <v>0.5</v>
      </c>
      <c r="AE38" s="10"/>
      <c r="AF38" s="10">
        <v>0.5</v>
      </c>
      <c r="AJ38" s="10"/>
      <c r="AK38" s="10">
        <v>0.8</v>
      </c>
      <c r="AL38" s="10"/>
      <c r="AM38" s="10">
        <v>0.8</v>
      </c>
      <c r="AQ38" s="10"/>
      <c r="AR38" s="10">
        <v>1</v>
      </c>
      <c r="AS38" s="10"/>
      <c r="AT38" s="10">
        <v>1</v>
      </c>
      <c r="AX38" s="10"/>
      <c r="AY38" s="10"/>
      <c r="AZ38" s="10"/>
      <c r="BA38" s="10"/>
      <c r="BE38" s="10"/>
      <c r="BF38" s="10"/>
      <c r="BG38" s="10"/>
      <c r="BH38" s="10"/>
      <c r="BL38" s="10"/>
      <c r="BM38" s="10"/>
      <c r="BN38" s="10"/>
      <c r="BO38" s="10"/>
      <c r="BS38" s="10"/>
      <c r="BT38" s="10">
        <v>0.8</v>
      </c>
      <c r="BU38" s="10"/>
      <c r="BV38" s="10">
        <v>0.8</v>
      </c>
      <c r="BZ38" s="10"/>
      <c r="CA38" s="10">
        <v>1</v>
      </c>
      <c r="CB38" s="10"/>
      <c r="CC38" s="10">
        <v>1</v>
      </c>
      <c r="CG38" s="10"/>
      <c r="CH38" s="10">
        <v>1</v>
      </c>
      <c r="CI38" s="10"/>
      <c r="CJ38" s="10">
        <v>1</v>
      </c>
      <c r="CN38" s="10"/>
      <c r="CO38" s="10"/>
      <c r="CP38" s="10"/>
      <c r="CQ38" s="10"/>
      <c r="CU38" s="10"/>
      <c r="CV38" s="10"/>
      <c r="CW38" s="10"/>
      <c r="CX38" s="10"/>
      <c r="DB38" s="10"/>
      <c r="DC38" s="10"/>
      <c r="DD38" s="10"/>
      <c r="DE38" s="10"/>
      <c r="DI38" s="10"/>
      <c r="DJ38" s="10"/>
      <c r="DK38" s="10"/>
      <c r="DL38" s="10"/>
      <c r="DP38" s="10"/>
      <c r="DQ38" s="10"/>
      <c r="DR38" s="10"/>
      <c r="DS38" s="10"/>
      <c r="DW38" s="10"/>
      <c r="DX38" s="10"/>
      <c r="DY38" s="10"/>
      <c r="DZ38" s="10"/>
      <c r="ED38" s="10"/>
      <c r="EE38" s="10"/>
      <c r="EF38" s="10"/>
      <c r="EG38" s="10"/>
      <c r="EK38" s="10"/>
      <c r="EL38" s="10"/>
      <c r="EM38" s="10"/>
      <c r="EN38" s="10"/>
    </row>
    <row r="39" spans="2:144" ht="16" hidden="1" customHeight="1" outlineLevel="1" x14ac:dyDescent="0.2">
      <c r="B39" t="s">
        <v>29</v>
      </c>
      <c r="C39" t="s">
        <v>106</v>
      </c>
      <c r="E39" s="9"/>
      <c r="F39" t="s">
        <v>39</v>
      </c>
      <c r="G39" s="10"/>
      <c r="I39" s="9">
        <f t="shared" si="3"/>
        <v>0</v>
      </c>
      <c r="J39" s="11" cm="1">
        <f t="array" ref="J39">MAX(IF($N$3:$EH$3=$J$3,N39:EH39))</f>
        <v>0</v>
      </c>
      <c r="K39" s="11" cm="1">
        <f t="array" ref="K39">MAX(IF($N$3:$EH$3=$J$3,N39:EH39))</f>
        <v>0</v>
      </c>
      <c r="L39" s="9"/>
      <c r="O39" s="10"/>
      <c r="P39" s="10"/>
      <c r="Q39" s="10"/>
      <c r="R39" s="10"/>
      <c r="V39" s="10"/>
      <c r="W39" s="10"/>
      <c r="X39" s="10"/>
      <c r="Y39" s="10"/>
      <c r="AC39" s="10"/>
      <c r="AD39" s="10">
        <v>0.5</v>
      </c>
      <c r="AE39" s="10"/>
      <c r="AF39" s="10">
        <v>0.5</v>
      </c>
      <c r="AJ39" s="10"/>
      <c r="AK39" s="10">
        <v>0.8</v>
      </c>
      <c r="AL39" s="10"/>
      <c r="AM39" s="10">
        <v>0.8</v>
      </c>
      <c r="AQ39" s="10"/>
      <c r="AR39" s="10">
        <v>1</v>
      </c>
      <c r="AS39" s="10"/>
      <c r="AT39" s="10">
        <v>1</v>
      </c>
      <c r="AX39" s="10"/>
      <c r="AY39" s="10"/>
      <c r="AZ39" s="10"/>
      <c r="BA39" s="10"/>
      <c r="BE39" s="10"/>
      <c r="BF39" s="10"/>
      <c r="BG39" s="10"/>
      <c r="BH39" s="10"/>
      <c r="BL39" s="10"/>
      <c r="BM39" s="10"/>
      <c r="BN39" s="10"/>
      <c r="BO39" s="10"/>
      <c r="BS39" s="10"/>
      <c r="BT39" s="10">
        <v>0.8</v>
      </c>
      <c r="BU39" s="10"/>
      <c r="BV39" s="10">
        <v>0.8</v>
      </c>
      <c r="BZ39" s="10"/>
      <c r="CA39" s="10">
        <v>1</v>
      </c>
      <c r="CB39" s="10"/>
      <c r="CC39" s="10">
        <v>1</v>
      </c>
      <c r="CG39" s="10"/>
      <c r="CH39" s="10">
        <v>1</v>
      </c>
      <c r="CI39" s="10"/>
      <c r="CJ39" s="10">
        <v>1</v>
      </c>
      <c r="CN39" s="10"/>
      <c r="CO39" s="10"/>
      <c r="CP39" s="10"/>
      <c r="CQ39" s="10"/>
      <c r="CU39" s="10"/>
      <c r="CV39" s="10"/>
      <c r="CW39" s="10"/>
      <c r="CX39" s="10"/>
      <c r="DB39" s="10"/>
      <c r="DC39" s="10"/>
      <c r="DD39" s="10"/>
      <c r="DE39" s="10"/>
      <c r="DI39" s="10"/>
      <c r="DJ39" s="10"/>
      <c r="DK39" s="10"/>
      <c r="DL39" s="10"/>
      <c r="DP39" s="10"/>
      <c r="DQ39" s="10"/>
      <c r="DR39" s="10"/>
      <c r="DS39" s="10"/>
      <c r="DW39" s="10"/>
      <c r="DX39" s="10"/>
      <c r="DY39" s="10"/>
      <c r="DZ39" s="10"/>
      <c r="ED39" s="10"/>
      <c r="EE39" s="10"/>
      <c r="EF39" s="10"/>
      <c r="EG39" s="10"/>
      <c r="EK39" s="10"/>
      <c r="EL39" s="10"/>
      <c r="EM39" s="10"/>
      <c r="EN39" s="10"/>
    </row>
    <row r="40" spans="2:144" ht="16" hidden="1" customHeight="1" outlineLevel="1" x14ac:dyDescent="0.2">
      <c r="B40" t="s">
        <v>29</v>
      </c>
      <c r="C40" t="s">
        <v>106</v>
      </c>
      <c r="E40" s="9"/>
      <c r="F40" t="s">
        <v>40</v>
      </c>
      <c r="G40" s="10"/>
      <c r="I40" s="9">
        <f t="shared" si="3"/>
        <v>0</v>
      </c>
      <c r="J40" s="11" cm="1">
        <f t="array" ref="J40">MAX(IF($N$3:$EH$3=$J$3,N40:EH40))</f>
        <v>0</v>
      </c>
      <c r="K40" s="11" cm="1">
        <f t="array" ref="K40">MAX(IF($N$3:$EH$3=$J$3,N40:EH40))</f>
        <v>0</v>
      </c>
      <c r="L40" s="9"/>
      <c r="O40" s="10"/>
      <c r="P40" s="10"/>
      <c r="Q40" s="10"/>
      <c r="R40" s="10"/>
      <c r="V40" s="10"/>
      <c r="W40" s="10"/>
      <c r="X40" s="10"/>
      <c r="Y40" s="10"/>
      <c r="AC40" s="10"/>
      <c r="AD40" s="10">
        <v>0.3</v>
      </c>
      <c r="AE40" s="10"/>
      <c r="AF40" s="10">
        <v>0.3</v>
      </c>
      <c r="AJ40" s="10"/>
      <c r="AK40" s="10">
        <v>0.5</v>
      </c>
      <c r="AL40" s="10"/>
      <c r="AM40" s="10">
        <v>0.5</v>
      </c>
      <c r="AQ40" s="10"/>
      <c r="AR40" s="10">
        <v>1</v>
      </c>
      <c r="AS40" s="10"/>
      <c r="AT40" s="10">
        <v>1</v>
      </c>
      <c r="AX40" s="10"/>
      <c r="AY40" s="10"/>
      <c r="AZ40" s="10"/>
      <c r="BA40" s="10"/>
      <c r="BE40" s="10"/>
      <c r="BF40" s="10"/>
      <c r="BG40" s="10"/>
      <c r="BH40" s="10"/>
      <c r="BL40" s="10"/>
      <c r="BM40" s="10"/>
      <c r="BN40" s="10"/>
      <c r="BO40" s="10"/>
      <c r="BS40" s="10"/>
      <c r="BT40" s="10">
        <v>0.8</v>
      </c>
      <c r="BU40" s="10"/>
      <c r="BV40" s="10">
        <v>0.8</v>
      </c>
      <c r="BZ40" s="10"/>
      <c r="CA40" s="10">
        <v>1</v>
      </c>
      <c r="CB40" s="10"/>
      <c r="CC40" s="10">
        <v>1</v>
      </c>
      <c r="CG40" s="10"/>
      <c r="CH40" s="10">
        <v>1</v>
      </c>
      <c r="CI40" s="10"/>
      <c r="CJ40" s="10">
        <v>1</v>
      </c>
      <c r="CN40" s="10"/>
      <c r="CO40" s="10"/>
      <c r="CP40" s="10"/>
      <c r="CQ40" s="10"/>
      <c r="CU40" s="10"/>
      <c r="CV40" s="10"/>
      <c r="CW40" s="10"/>
      <c r="CX40" s="10"/>
      <c r="DB40" s="10"/>
      <c r="DC40" s="10"/>
      <c r="DD40" s="10"/>
      <c r="DE40" s="10"/>
      <c r="DI40" s="10"/>
      <c r="DJ40" s="10"/>
      <c r="DK40" s="10"/>
      <c r="DL40" s="10"/>
      <c r="DP40" s="10"/>
      <c r="DQ40" s="10"/>
      <c r="DR40" s="10"/>
      <c r="DS40" s="10"/>
      <c r="DW40" s="10"/>
      <c r="DX40" s="10"/>
      <c r="DY40" s="10"/>
      <c r="DZ40" s="10"/>
      <c r="ED40" s="10"/>
      <c r="EE40" s="10"/>
      <c r="EF40" s="10"/>
      <c r="EG40" s="10"/>
      <c r="EK40" s="10"/>
      <c r="EL40" s="10"/>
      <c r="EM40" s="10"/>
      <c r="EN40" s="10"/>
    </row>
    <row r="41" spans="2:144" ht="16" hidden="1" customHeight="1" outlineLevel="1" x14ac:dyDescent="0.2">
      <c r="B41" t="s">
        <v>29</v>
      </c>
      <c r="C41" t="s">
        <v>106</v>
      </c>
      <c r="E41" s="9"/>
      <c r="F41" t="s">
        <v>41</v>
      </c>
      <c r="G41" s="10"/>
      <c r="I41" s="9">
        <f t="shared" si="3"/>
        <v>0</v>
      </c>
      <c r="J41" s="11" cm="1">
        <f t="array" ref="J41">MAX(IF($N$3:$EH$3=$J$3,N41:EH41))</f>
        <v>0</v>
      </c>
      <c r="K41" s="11" cm="1">
        <f t="array" ref="K41">MAX(IF($N$3:$EH$3=$J$3,N41:EH41))</f>
        <v>0</v>
      </c>
      <c r="L41" s="9"/>
      <c r="O41" s="10"/>
      <c r="P41" s="10"/>
      <c r="Q41" s="10"/>
      <c r="R41" s="10"/>
      <c r="V41" s="10"/>
      <c r="W41" s="10"/>
      <c r="X41" s="10"/>
      <c r="Y41" s="10"/>
      <c r="AC41" s="10"/>
      <c r="AD41" s="10"/>
      <c r="AE41" s="10"/>
      <c r="AF41" s="10"/>
      <c r="AJ41" s="10"/>
      <c r="AK41" s="10">
        <v>0.5</v>
      </c>
      <c r="AL41" s="10"/>
      <c r="AM41" s="10">
        <v>0.5</v>
      </c>
      <c r="AQ41" s="10"/>
      <c r="AR41" s="10">
        <v>1</v>
      </c>
      <c r="AS41" s="10"/>
      <c r="AT41" s="10">
        <v>1</v>
      </c>
      <c r="AX41" s="10"/>
      <c r="AY41" s="10"/>
      <c r="AZ41" s="10"/>
      <c r="BA41" s="10"/>
      <c r="BE41" s="10"/>
      <c r="BF41" s="10"/>
      <c r="BG41" s="10"/>
      <c r="BH41" s="10"/>
      <c r="BL41" s="10"/>
      <c r="BM41" s="10"/>
      <c r="BN41" s="10"/>
      <c r="BO41" s="10"/>
      <c r="BS41" s="10"/>
      <c r="BT41" s="10">
        <v>0.8</v>
      </c>
      <c r="BU41" s="10"/>
      <c r="BV41" s="10">
        <v>0.8</v>
      </c>
      <c r="BZ41" s="10"/>
      <c r="CA41" s="10">
        <v>0.8</v>
      </c>
      <c r="CB41" s="10"/>
      <c r="CC41" s="10">
        <v>0.8</v>
      </c>
      <c r="CG41" s="10"/>
      <c r="CH41" s="10">
        <v>1</v>
      </c>
      <c r="CI41" s="10"/>
      <c r="CJ41" s="10">
        <v>1</v>
      </c>
      <c r="CN41" s="10"/>
      <c r="CO41" s="10"/>
      <c r="CP41" s="10"/>
      <c r="CQ41" s="10"/>
      <c r="CU41" s="10"/>
      <c r="CV41" s="10"/>
      <c r="CW41" s="10"/>
      <c r="CX41" s="10"/>
      <c r="DB41" s="10"/>
      <c r="DC41" s="10"/>
      <c r="DD41" s="10"/>
      <c r="DE41" s="10"/>
      <c r="DI41" s="10"/>
      <c r="DJ41" s="10"/>
      <c r="DK41" s="10"/>
      <c r="DL41" s="10"/>
      <c r="DP41" s="10"/>
      <c r="DQ41" s="10"/>
      <c r="DR41" s="10"/>
      <c r="DS41" s="10"/>
      <c r="DW41" s="10"/>
      <c r="DX41" s="10"/>
      <c r="DY41" s="10"/>
      <c r="DZ41" s="10"/>
      <c r="ED41" s="10"/>
      <c r="EE41" s="10"/>
      <c r="EF41" s="10"/>
      <c r="EG41" s="10"/>
      <c r="EK41" s="10"/>
      <c r="EL41" s="10"/>
      <c r="EM41" s="10"/>
      <c r="EN41" s="10"/>
    </row>
    <row r="42" spans="2:144" ht="16" hidden="1" customHeight="1" outlineLevel="1" x14ac:dyDescent="0.2">
      <c r="B42" t="s">
        <v>29</v>
      </c>
      <c r="C42" t="s">
        <v>106</v>
      </c>
      <c r="E42" s="9"/>
      <c r="F42" t="s">
        <v>42</v>
      </c>
      <c r="G42" s="10"/>
      <c r="I42" s="9">
        <f t="shared" si="3"/>
        <v>0</v>
      </c>
      <c r="J42" s="11" cm="1">
        <f t="array" ref="J42">MAX(IF($N$3:$EH$3=$J$3,N42:EH42))</f>
        <v>0</v>
      </c>
      <c r="K42" s="11" cm="1">
        <f t="array" ref="K42">MAX(IF($N$3:$EH$3=$J$3,N42:EH42))</f>
        <v>0</v>
      </c>
      <c r="L42" s="9"/>
      <c r="O42" s="10"/>
      <c r="P42" s="10"/>
      <c r="Q42" s="10"/>
      <c r="R42" s="10"/>
      <c r="V42" s="10"/>
      <c r="W42" s="10"/>
      <c r="X42" s="10"/>
      <c r="Y42" s="10"/>
      <c r="AC42" s="10"/>
      <c r="AD42" s="10"/>
      <c r="AE42" s="10"/>
      <c r="AF42" s="10"/>
      <c r="AJ42" s="10"/>
      <c r="AK42" s="10">
        <v>0.5</v>
      </c>
      <c r="AL42" s="10"/>
      <c r="AM42" s="10">
        <v>0.5</v>
      </c>
      <c r="AQ42" s="10"/>
      <c r="AR42" s="10">
        <v>1</v>
      </c>
      <c r="AS42" s="10"/>
      <c r="AT42" s="10">
        <v>1</v>
      </c>
      <c r="AX42" s="10"/>
      <c r="AY42" s="10"/>
      <c r="AZ42" s="10"/>
      <c r="BA42" s="10"/>
      <c r="BE42" s="10"/>
      <c r="BF42" s="10"/>
      <c r="BG42" s="10"/>
      <c r="BH42" s="10"/>
      <c r="BL42" s="10"/>
      <c r="BM42" s="10"/>
      <c r="BN42" s="10"/>
      <c r="BO42" s="10"/>
      <c r="BS42" s="10"/>
      <c r="BT42" s="10">
        <v>0.8</v>
      </c>
      <c r="BU42" s="10"/>
      <c r="BV42" s="10">
        <v>0.8</v>
      </c>
      <c r="BZ42" s="10"/>
      <c r="CA42" s="10">
        <v>0.8</v>
      </c>
      <c r="CB42" s="10"/>
      <c r="CC42" s="10">
        <v>0.8</v>
      </c>
      <c r="CG42" s="10"/>
      <c r="CH42" s="10">
        <v>1</v>
      </c>
      <c r="CI42" s="10"/>
      <c r="CJ42" s="10">
        <v>1</v>
      </c>
      <c r="CN42" s="10"/>
      <c r="CO42" s="10"/>
      <c r="CP42" s="10"/>
      <c r="CQ42" s="10"/>
      <c r="CU42" s="10"/>
      <c r="CV42" s="10"/>
      <c r="CW42" s="10"/>
      <c r="CX42" s="10"/>
      <c r="DB42" s="10"/>
      <c r="DC42" s="10"/>
      <c r="DD42" s="10"/>
      <c r="DE42" s="10"/>
      <c r="DI42" s="10"/>
      <c r="DJ42" s="10"/>
      <c r="DK42" s="10"/>
      <c r="DL42" s="10"/>
      <c r="DP42" s="10"/>
      <c r="DQ42" s="10"/>
      <c r="DR42" s="10"/>
      <c r="DS42" s="10"/>
      <c r="DW42" s="10"/>
      <c r="DX42" s="10"/>
      <c r="DY42" s="10"/>
      <c r="DZ42" s="10"/>
      <c r="ED42" s="10"/>
      <c r="EE42" s="10"/>
      <c r="EF42" s="10"/>
      <c r="EG42" s="10"/>
      <c r="EK42" s="10"/>
      <c r="EL42" s="10"/>
      <c r="EM42" s="10"/>
      <c r="EN42" s="10"/>
    </row>
    <row r="43" spans="2:144" collapsed="1" x14ac:dyDescent="0.2"/>
    <row r="44" spans="2:144" x14ac:dyDescent="0.2">
      <c r="B44" t="s">
        <v>28</v>
      </c>
      <c r="C44" t="s">
        <v>113</v>
      </c>
      <c r="D44" s="19">
        <v>44971</v>
      </c>
      <c r="E44" s="9">
        <v>5</v>
      </c>
      <c r="G44" s="10">
        <f>+SUM(G45:G54)</f>
        <v>0</v>
      </c>
      <c r="I44" s="12">
        <f>+SUM(I45:I54)</f>
        <v>0</v>
      </c>
      <c r="J44" s="11">
        <f>+SUMPRODUCT(G45:G54,J45:J54)</f>
        <v>0</v>
      </c>
      <c r="K44" s="11">
        <f>+SUMPRODUCT(G45:G54,K45:K54)</f>
        <v>0</v>
      </c>
      <c r="L44" s="9"/>
      <c r="N44" s="12">
        <f>+SUM(N45:N54)</f>
        <v>0</v>
      </c>
      <c r="U44" s="12">
        <f>+SUM(U45:U54)</f>
        <v>0</v>
      </c>
      <c r="AB44" s="12">
        <f>+SUM(AB45:AB54)</f>
        <v>0</v>
      </c>
      <c r="AI44" s="12">
        <f>+SUM(AI45:AI54)</f>
        <v>0</v>
      </c>
      <c r="AP44" s="12">
        <f>+SUM(AP45:AP54)</f>
        <v>0</v>
      </c>
    </row>
    <row r="45" spans="2:144" ht="16" hidden="1" customHeight="1" outlineLevel="1" x14ac:dyDescent="0.2">
      <c r="B45" t="s">
        <v>29</v>
      </c>
      <c r="C45" t="s">
        <v>108</v>
      </c>
      <c r="E45" s="9"/>
      <c r="F45" t="s">
        <v>31</v>
      </c>
      <c r="G45" s="10"/>
      <c r="I45" s="9">
        <f t="shared" si="3"/>
        <v>0</v>
      </c>
      <c r="J45" s="11" cm="1">
        <f t="array" ref="J45">MAX(IF($N$3:$EH$3=$J$3,N45:EH45))</f>
        <v>0</v>
      </c>
      <c r="K45" s="11" cm="1">
        <f t="array" ref="K45">MAX(IF($N$3:$EH$3=$J$3,N45:EH45))</f>
        <v>0</v>
      </c>
      <c r="L45" s="9"/>
      <c r="O45" s="10"/>
      <c r="P45" s="10">
        <v>0.5</v>
      </c>
      <c r="Q45" s="10"/>
      <c r="R45" s="10">
        <v>0.5</v>
      </c>
      <c r="V45" s="10"/>
      <c r="W45" s="10">
        <v>0.8</v>
      </c>
      <c r="X45" s="10"/>
      <c r="Y45" s="10">
        <v>0.8</v>
      </c>
      <c r="AC45" s="10"/>
      <c r="AD45" s="10">
        <v>0.8</v>
      </c>
      <c r="AE45" s="10"/>
      <c r="AF45" s="10">
        <v>0.8</v>
      </c>
      <c r="AJ45" s="10"/>
      <c r="AK45" s="10">
        <v>1</v>
      </c>
      <c r="AL45" s="10"/>
      <c r="AM45" s="10">
        <v>1</v>
      </c>
      <c r="AQ45" s="10"/>
      <c r="AR45" s="10">
        <v>1</v>
      </c>
      <c r="AS45" s="10"/>
      <c r="AT45" s="10">
        <v>1</v>
      </c>
      <c r="AX45" s="10"/>
      <c r="AY45" s="10"/>
      <c r="AZ45" s="10"/>
      <c r="BA45" s="10"/>
      <c r="BE45" s="10"/>
      <c r="BF45" s="10"/>
      <c r="BG45" s="10"/>
      <c r="BH45" s="10"/>
      <c r="BL45" s="10"/>
      <c r="BM45" s="10"/>
      <c r="BN45" s="10"/>
      <c r="BO45" s="10">
        <v>1</v>
      </c>
      <c r="BS45" s="10"/>
      <c r="BT45" s="10">
        <v>1</v>
      </c>
      <c r="BU45" s="10"/>
      <c r="BV45" s="10">
        <v>1</v>
      </c>
      <c r="BZ45" s="10"/>
      <c r="CA45" s="10">
        <v>1</v>
      </c>
      <c r="CB45" s="10"/>
      <c r="CC45" s="10">
        <v>1</v>
      </c>
      <c r="CG45" s="10"/>
      <c r="CH45" s="10">
        <v>1</v>
      </c>
      <c r="CI45" s="10"/>
      <c r="CJ45" s="10">
        <v>1</v>
      </c>
      <c r="CN45" s="10"/>
      <c r="CO45" s="10"/>
      <c r="CP45" s="10"/>
      <c r="CQ45" s="10"/>
      <c r="CU45" s="10"/>
      <c r="CV45" s="10"/>
      <c r="CW45" s="10"/>
      <c r="CX45" s="10"/>
      <c r="DB45" s="10"/>
      <c r="DC45" s="10"/>
      <c r="DD45" s="10"/>
      <c r="DE45" s="10"/>
      <c r="DI45" s="10"/>
      <c r="DJ45" s="10"/>
      <c r="DK45" s="10"/>
      <c r="DL45" s="10"/>
      <c r="DP45" s="10"/>
      <c r="DQ45" s="10"/>
      <c r="DR45" s="10"/>
      <c r="DS45" s="10"/>
      <c r="DW45" s="10"/>
      <c r="DX45" s="10"/>
      <c r="DY45" s="10"/>
      <c r="DZ45" s="10"/>
      <c r="ED45" s="10"/>
      <c r="EE45" s="10"/>
      <c r="EF45" s="10"/>
      <c r="EG45" s="10"/>
      <c r="EK45" s="10"/>
      <c r="EL45" s="10"/>
      <c r="EM45" s="10"/>
      <c r="EN45" s="10"/>
    </row>
    <row r="46" spans="2:144" ht="16" hidden="1" customHeight="1" outlineLevel="1" x14ac:dyDescent="0.2">
      <c r="B46" t="s">
        <v>29</v>
      </c>
      <c r="C46" t="s">
        <v>108</v>
      </c>
      <c r="E46" s="9"/>
      <c r="F46" t="s">
        <v>34</v>
      </c>
      <c r="G46" s="10"/>
      <c r="I46" s="9">
        <f t="shared" si="3"/>
        <v>0</v>
      </c>
      <c r="J46" s="11" cm="1">
        <f t="array" ref="J46">MAX(IF($N$3:$EH$3=$J$3,N46:EH46))</f>
        <v>0</v>
      </c>
      <c r="K46" s="11" cm="1">
        <f t="array" ref="K46">MAX(IF($N$3:$EH$3=$J$3,N46:EH46))</f>
        <v>0</v>
      </c>
      <c r="L46" s="9"/>
      <c r="O46" s="10"/>
      <c r="P46" s="10">
        <v>0.5</v>
      </c>
      <c r="Q46" s="10"/>
      <c r="R46" s="10">
        <v>0.5</v>
      </c>
      <c r="V46" s="10"/>
      <c r="W46" s="10">
        <v>0.8</v>
      </c>
      <c r="X46" s="10"/>
      <c r="Y46" s="10">
        <v>0.8</v>
      </c>
      <c r="AC46" s="10"/>
      <c r="AD46" s="10">
        <v>0.8</v>
      </c>
      <c r="AE46" s="10"/>
      <c r="AF46" s="10">
        <v>0.8</v>
      </c>
      <c r="AJ46" s="10"/>
      <c r="AK46" s="10">
        <v>1</v>
      </c>
      <c r="AL46" s="10"/>
      <c r="AM46" s="10">
        <v>1</v>
      </c>
      <c r="AQ46" s="10"/>
      <c r="AR46" s="10">
        <v>1</v>
      </c>
      <c r="AS46" s="10"/>
      <c r="AT46" s="10">
        <v>1</v>
      </c>
      <c r="AX46" s="10"/>
      <c r="AY46" s="10"/>
      <c r="AZ46" s="10"/>
      <c r="BA46" s="10"/>
      <c r="BE46" s="10"/>
      <c r="BF46" s="10"/>
      <c r="BG46" s="10"/>
      <c r="BH46" s="10"/>
      <c r="BL46" s="10"/>
      <c r="BM46" s="10"/>
      <c r="BN46" s="10"/>
      <c r="BO46" s="10">
        <v>1</v>
      </c>
      <c r="BS46" s="10"/>
      <c r="BT46" s="10">
        <v>1</v>
      </c>
      <c r="BU46" s="10"/>
      <c r="BV46" s="10">
        <v>1</v>
      </c>
      <c r="BZ46" s="10"/>
      <c r="CA46" s="10">
        <v>1</v>
      </c>
      <c r="CB46" s="10"/>
      <c r="CC46" s="10">
        <v>1</v>
      </c>
      <c r="CG46" s="10"/>
      <c r="CH46" s="10">
        <v>1</v>
      </c>
      <c r="CI46" s="10"/>
      <c r="CJ46" s="10">
        <v>1</v>
      </c>
      <c r="CN46" s="10"/>
      <c r="CO46" s="10"/>
      <c r="CP46" s="10"/>
      <c r="CQ46" s="10"/>
      <c r="CU46" s="10"/>
      <c r="CV46" s="10"/>
      <c r="CW46" s="10"/>
      <c r="CX46" s="10"/>
      <c r="DB46" s="10"/>
      <c r="DC46" s="10"/>
      <c r="DD46" s="10"/>
      <c r="DE46" s="10"/>
      <c r="DI46" s="10"/>
      <c r="DJ46" s="10"/>
      <c r="DK46" s="10"/>
      <c r="DL46" s="10"/>
      <c r="DP46" s="10"/>
      <c r="DQ46" s="10"/>
      <c r="DR46" s="10"/>
      <c r="DS46" s="10"/>
      <c r="DW46" s="10"/>
      <c r="DX46" s="10"/>
      <c r="DY46" s="10"/>
      <c r="DZ46" s="10"/>
      <c r="ED46" s="10"/>
      <c r="EE46" s="10"/>
      <c r="EF46" s="10"/>
      <c r="EG46" s="10"/>
      <c r="EK46" s="10"/>
      <c r="EL46" s="10"/>
      <c r="EM46" s="10"/>
      <c r="EN46" s="10"/>
    </row>
    <row r="47" spans="2:144" ht="16" hidden="1" customHeight="1" outlineLevel="1" x14ac:dyDescent="0.2">
      <c r="B47" t="s">
        <v>29</v>
      </c>
      <c r="C47" t="s">
        <v>108</v>
      </c>
      <c r="E47" s="9"/>
      <c r="F47" t="s">
        <v>35</v>
      </c>
      <c r="G47" s="10"/>
      <c r="I47" s="9">
        <f t="shared" si="3"/>
        <v>0</v>
      </c>
      <c r="J47" s="11" cm="1">
        <f t="array" ref="J47">MAX(IF($N$3:$EH$3=$J$3,N47:EH47))</f>
        <v>0</v>
      </c>
      <c r="K47" s="11" cm="1">
        <f t="array" ref="K47">MAX(IF($N$3:$EH$3=$J$3,N47:EH47))</f>
        <v>0</v>
      </c>
      <c r="L47" s="9"/>
      <c r="O47" s="10"/>
      <c r="P47" s="10">
        <v>0.5</v>
      </c>
      <c r="Q47" s="10"/>
      <c r="R47" s="10">
        <v>0.5</v>
      </c>
      <c r="V47" s="10"/>
      <c r="W47" s="10">
        <v>0.5</v>
      </c>
      <c r="X47" s="10"/>
      <c r="Y47" s="10">
        <v>0.5</v>
      </c>
      <c r="AC47" s="10"/>
      <c r="AD47" s="10">
        <v>0.8</v>
      </c>
      <c r="AE47" s="10"/>
      <c r="AF47" s="10">
        <v>0.8</v>
      </c>
      <c r="AJ47" s="10"/>
      <c r="AK47" s="10">
        <v>0.8</v>
      </c>
      <c r="AL47" s="10"/>
      <c r="AM47" s="10">
        <v>0.8</v>
      </c>
      <c r="AQ47" s="10"/>
      <c r="AR47" s="10">
        <v>1</v>
      </c>
      <c r="AS47" s="10"/>
      <c r="AT47" s="10">
        <v>1</v>
      </c>
      <c r="AX47" s="10"/>
      <c r="AY47" s="10"/>
      <c r="AZ47" s="10"/>
      <c r="BA47" s="10"/>
      <c r="BE47" s="10"/>
      <c r="BF47" s="10"/>
      <c r="BG47" s="10"/>
      <c r="BH47" s="10"/>
      <c r="BL47" s="10"/>
      <c r="BM47" s="10"/>
      <c r="BN47" s="10"/>
      <c r="BO47" s="10">
        <v>0.8</v>
      </c>
      <c r="BS47" s="10"/>
      <c r="BT47" s="10">
        <v>1</v>
      </c>
      <c r="BU47" s="10"/>
      <c r="BV47" s="10">
        <v>1</v>
      </c>
      <c r="BZ47" s="10"/>
      <c r="CA47" s="10">
        <v>1</v>
      </c>
      <c r="CB47" s="10"/>
      <c r="CC47" s="10">
        <v>1</v>
      </c>
      <c r="CG47" s="10"/>
      <c r="CH47" s="10">
        <v>1</v>
      </c>
      <c r="CI47" s="10"/>
      <c r="CJ47" s="10">
        <v>1</v>
      </c>
      <c r="CN47" s="10"/>
      <c r="CO47" s="10"/>
      <c r="CP47" s="10"/>
      <c r="CQ47" s="10"/>
      <c r="CU47" s="10"/>
      <c r="CV47" s="10"/>
      <c r="CW47" s="10"/>
      <c r="CX47" s="10"/>
      <c r="DB47" s="10"/>
      <c r="DC47" s="10"/>
      <c r="DD47" s="10"/>
      <c r="DE47" s="10"/>
      <c r="DI47" s="10"/>
      <c r="DJ47" s="10"/>
      <c r="DK47" s="10"/>
      <c r="DL47" s="10"/>
      <c r="DP47" s="10"/>
      <c r="DQ47" s="10"/>
      <c r="DR47" s="10"/>
      <c r="DS47" s="10"/>
      <c r="DW47" s="10"/>
      <c r="DX47" s="10"/>
      <c r="DY47" s="10"/>
      <c r="DZ47" s="10"/>
      <c r="ED47" s="10"/>
      <c r="EE47" s="10"/>
      <c r="EF47" s="10"/>
      <c r="EG47" s="10"/>
      <c r="EK47" s="10"/>
      <c r="EL47" s="10"/>
      <c r="EM47" s="10"/>
      <c r="EN47" s="10"/>
    </row>
    <row r="48" spans="2:144" ht="16" hidden="1" customHeight="1" outlineLevel="1" x14ac:dyDescent="0.2">
      <c r="B48" t="s">
        <v>29</v>
      </c>
      <c r="C48" t="s">
        <v>108</v>
      </c>
      <c r="E48" s="9"/>
      <c r="F48" t="s">
        <v>36</v>
      </c>
      <c r="G48" s="10"/>
      <c r="I48" s="9">
        <f t="shared" si="3"/>
        <v>0</v>
      </c>
      <c r="J48" s="11" cm="1">
        <f t="array" ref="J48">MAX(IF($N$3:$EH$3=$J$3,N48:EH48))</f>
        <v>0</v>
      </c>
      <c r="K48" s="11" cm="1">
        <f t="array" ref="K48">MAX(IF($N$3:$EH$3=$J$3,N48:EH48))</f>
        <v>0</v>
      </c>
      <c r="L48" s="9"/>
      <c r="O48" s="10"/>
      <c r="P48" s="10">
        <v>0.5</v>
      </c>
      <c r="Q48" s="10"/>
      <c r="R48" s="10">
        <v>0.5</v>
      </c>
      <c r="V48" s="10"/>
      <c r="W48" s="10">
        <v>0.5</v>
      </c>
      <c r="X48" s="10"/>
      <c r="Y48" s="10">
        <v>0.5</v>
      </c>
      <c r="AC48" s="10"/>
      <c r="AD48" s="10">
        <v>0.8</v>
      </c>
      <c r="AE48" s="10"/>
      <c r="AF48" s="10">
        <v>0.8</v>
      </c>
      <c r="AJ48" s="10"/>
      <c r="AK48" s="10">
        <v>0.8</v>
      </c>
      <c r="AL48" s="10"/>
      <c r="AM48" s="10">
        <v>0.8</v>
      </c>
      <c r="AQ48" s="10"/>
      <c r="AR48" s="10">
        <v>1</v>
      </c>
      <c r="AS48" s="10"/>
      <c r="AT48" s="10">
        <v>1</v>
      </c>
      <c r="AX48" s="10"/>
      <c r="AY48" s="10"/>
      <c r="AZ48" s="10"/>
      <c r="BA48" s="10"/>
      <c r="BE48" s="10"/>
      <c r="BF48" s="10"/>
      <c r="BG48" s="10"/>
      <c r="BH48" s="10"/>
      <c r="BL48" s="10"/>
      <c r="BM48" s="10"/>
      <c r="BN48" s="10"/>
      <c r="BO48" s="10">
        <v>0.8</v>
      </c>
      <c r="BS48" s="10"/>
      <c r="BT48" s="10">
        <v>0.8</v>
      </c>
      <c r="BU48" s="10"/>
      <c r="BV48" s="10">
        <v>0.8</v>
      </c>
      <c r="BZ48" s="10"/>
      <c r="CA48" s="10">
        <v>1</v>
      </c>
      <c r="CB48" s="10"/>
      <c r="CC48" s="10">
        <v>1</v>
      </c>
      <c r="CG48" s="10"/>
      <c r="CH48" s="10">
        <v>1</v>
      </c>
      <c r="CI48" s="10"/>
      <c r="CJ48" s="10">
        <v>1</v>
      </c>
      <c r="CN48" s="10"/>
      <c r="CO48" s="10"/>
      <c r="CP48" s="10"/>
      <c r="CQ48" s="10"/>
      <c r="CU48" s="10"/>
      <c r="CV48" s="10"/>
      <c r="CW48" s="10"/>
      <c r="CX48" s="10"/>
      <c r="DB48" s="10"/>
      <c r="DC48" s="10"/>
      <c r="DD48" s="10"/>
      <c r="DE48" s="10"/>
      <c r="DI48" s="10"/>
      <c r="DJ48" s="10"/>
      <c r="DK48" s="10"/>
      <c r="DL48" s="10"/>
      <c r="DP48" s="10"/>
      <c r="DQ48" s="10"/>
      <c r="DR48" s="10"/>
      <c r="DS48" s="10"/>
      <c r="DW48" s="10"/>
      <c r="DX48" s="10"/>
      <c r="DY48" s="10"/>
      <c r="DZ48" s="10"/>
      <c r="ED48" s="10"/>
      <c r="EE48" s="10"/>
      <c r="EF48" s="10"/>
      <c r="EG48" s="10"/>
      <c r="EK48" s="10"/>
      <c r="EL48" s="10"/>
      <c r="EM48" s="10"/>
      <c r="EN48" s="10"/>
    </row>
    <row r="49" spans="2:144" ht="16" hidden="1" customHeight="1" outlineLevel="1" x14ac:dyDescent="0.2">
      <c r="B49" t="s">
        <v>29</v>
      </c>
      <c r="C49" t="s">
        <v>108</v>
      </c>
      <c r="E49" s="9"/>
      <c r="F49" t="s">
        <v>37</v>
      </c>
      <c r="G49" s="10"/>
      <c r="I49" s="9">
        <f t="shared" si="3"/>
        <v>0</v>
      </c>
      <c r="J49" s="11" cm="1">
        <f t="array" ref="J49">MAX(IF($N$3:$EH$3=$J$3,N49:EH49))</f>
        <v>0</v>
      </c>
      <c r="K49" s="11" cm="1">
        <f t="array" ref="K49">MAX(IF($N$3:$EH$3=$J$3,N49:EH49))</f>
        <v>0</v>
      </c>
      <c r="L49" s="9"/>
      <c r="O49" s="10"/>
      <c r="P49" s="10"/>
      <c r="Q49" s="10"/>
      <c r="R49" s="10"/>
      <c r="V49" s="10"/>
      <c r="W49" s="10">
        <v>0.5</v>
      </c>
      <c r="X49" s="10"/>
      <c r="Y49" s="10">
        <v>0.5</v>
      </c>
      <c r="AC49" s="10"/>
      <c r="AD49" s="10">
        <v>0.5</v>
      </c>
      <c r="AE49" s="10"/>
      <c r="AF49" s="10">
        <v>0.5</v>
      </c>
      <c r="AJ49" s="10"/>
      <c r="AK49" s="10">
        <v>0.5</v>
      </c>
      <c r="AL49" s="10"/>
      <c r="AM49" s="10">
        <v>0.5</v>
      </c>
      <c r="AQ49" s="10"/>
      <c r="AR49" s="10">
        <v>1</v>
      </c>
      <c r="AS49" s="10"/>
      <c r="AT49" s="10">
        <v>1</v>
      </c>
      <c r="AX49" s="10"/>
      <c r="AY49" s="10"/>
      <c r="AZ49" s="10"/>
      <c r="BA49" s="10"/>
      <c r="BE49" s="10"/>
      <c r="BF49" s="10"/>
      <c r="BG49" s="10"/>
      <c r="BH49" s="10"/>
      <c r="BL49" s="10"/>
      <c r="BM49" s="10"/>
      <c r="BN49" s="10"/>
      <c r="BO49" s="10">
        <v>0.8</v>
      </c>
      <c r="BS49" s="10"/>
      <c r="BT49" s="10">
        <v>0.8</v>
      </c>
      <c r="BU49" s="10"/>
      <c r="BV49" s="10">
        <v>0.8</v>
      </c>
      <c r="BZ49" s="10"/>
      <c r="CA49" s="10">
        <v>1</v>
      </c>
      <c r="CB49" s="10"/>
      <c r="CC49" s="10">
        <v>1</v>
      </c>
      <c r="CG49" s="10"/>
      <c r="CH49" s="10">
        <v>1</v>
      </c>
      <c r="CI49" s="10"/>
      <c r="CJ49" s="10">
        <v>1</v>
      </c>
      <c r="CN49" s="10"/>
      <c r="CO49" s="10"/>
      <c r="CP49" s="10"/>
      <c r="CQ49" s="10"/>
      <c r="CU49" s="10"/>
      <c r="CV49" s="10"/>
      <c r="CW49" s="10"/>
      <c r="CX49" s="10"/>
      <c r="DB49" s="10"/>
      <c r="DC49" s="10"/>
      <c r="DD49" s="10"/>
      <c r="DE49" s="10"/>
      <c r="DI49" s="10"/>
      <c r="DJ49" s="10"/>
      <c r="DK49" s="10"/>
      <c r="DL49" s="10"/>
      <c r="DP49" s="10"/>
      <c r="DQ49" s="10"/>
      <c r="DR49" s="10"/>
      <c r="DS49" s="10"/>
      <c r="DW49" s="10"/>
      <c r="DX49" s="10"/>
      <c r="DY49" s="10"/>
      <c r="DZ49" s="10"/>
      <c r="ED49" s="10"/>
      <c r="EE49" s="10"/>
      <c r="EF49" s="10"/>
      <c r="EG49" s="10"/>
      <c r="EK49" s="10"/>
      <c r="EL49" s="10"/>
      <c r="EM49" s="10"/>
      <c r="EN49" s="10"/>
    </row>
    <row r="50" spans="2:144" ht="16" hidden="1" customHeight="1" outlineLevel="1" x14ac:dyDescent="0.2">
      <c r="B50" t="s">
        <v>29</v>
      </c>
      <c r="C50" t="s">
        <v>108</v>
      </c>
      <c r="E50" s="9"/>
      <c r="F50" t="s">
        <v>38</v>
      </c>
      <c r="G50" s="10"/>
      <c r="I50" s="9">
        <f t="shared" si="3"/>
        <v>0</v>
      </c>
      <c r="J50" s="11" cm="1">
        <f t="array" ref="J50">MAX(IF($N$3:$EH$3=$J$3,N50:EH50))</f>
        <v>0</v>
      </c>
      <c r="K50" s="11" cm="1">
        <f t="array" ref="K50">MAX(IF($N$3:$EH$3=$J$3,N50:EH50))</f>
        <v>0</v>
      </c>
      <c r="L50" s="9"/>
      <c r="O50" s="10"/>
      <c r="P50" s="10"/>
      <c r="Q50" s="10"/>
      <c r="R50" s="10"/>
      <c r="V50" s="10"/>
      <c r="W50" s="10">
        <v>0.5</v>
      </c>
      <c r="X50" s="10"/>
      <c r="Y50" s="10">
        <v>0.5</v>
      </c>
      <c r="AC50" s="10"/>
      <c r="AD50" s="10">
        <v>0.5</v>
      </c>
      <c r="AE50" s="10"/>
      <c r="AF50" s="10">
        <v>0.5</v>
      </c>
      <c r="AJ50" s="10"/>
      <c r="AK50" s="10">
        <v>0.5</v>
      </c>
      <c r="AL50" s="10"/>
      <c r="AM50" s="10">
        <v>0.5</v>
      </c>
      <c r="AQ50" s="10"/>
      <c r="AR50" s="10">
        <v>1</v>
      </c>
      <c r="AS50" s="10"/>
      <c r="AT50" s="10">
        <v>1</v>
      </c>
      <c r="AX50" s="10"/>
      <c r="AY50" s="10"/>
      <c r="AZ50" s="10"/>
      <c r="BA50" s="10"/>
      <c r="BE50" s="10"/>
      <c r="BF50" s="10"/>
      <c r="BG50" s="10"/>
      <c r="BH50" s="10"/>
      <c r="BL50" s="10"/>
      <c r="BM50" s="10"/>
      <c r="BN50" s="10"/>
      <c r="BO50" s="10">
        <v>0.8</v>
      </c>
      <c r="BS50" s="10"/>
      <c r="BT50" s="10">
        <v>0.8</v>
      </c>
      <c r="BU50" s="10"/>
      <c r="BV50" s="10">
        <v>0.8</v>
      </c>
      <c r="BZ50" s="10"/>
      <c r="CA50" s="10">
        <v>1</v>
      </c>
      <c r="CB50" s="10"/>
      <c r="CC50" s="10">
        <v>1</v>
      </c>
      <c r="CG50" s="10"/>
      <c r="CH50" s="10">
        <v>1</v>
      </c>
      <c r="CI50" s="10"/>
      <c r="CJ50" s="10">
        <v>1</v>
      </c>
      <c r="CN50" s="10"/>
      <c r="CO50" s="10"/>
      <c r="CP50" s="10"/>
      <c r="CQ50" s="10"/>
      <c r="CU50" s="10"/>
      <c r="CV50" s="10"/>
      <c r="CW50" s="10"/>
      <c r="CX50" s="10"/>
      <c r="DB50" s="10"/>
      <c r="DC50" s="10"/>
      <c r="DD50" s="10"/>
      <c r="DE50" s="10"/>
      <c r="DI50" s="10"/>
      <c r="DJ50" s="10"/>
      <c r="DK50" s="10"/>
      <c r="DL50" s="10"/>
      <c r="DP50" s="10"/>
      <c r="DQ50" s="10"/>
      <c r="DR50" s="10"/>
      <c r="DS50" s="10"/>
      <c r="DW50" s="10"/>
      <c r="DX50" s="10"/>
      <c r="DY50" s="10"/>
      <c r="DZ50" s="10"/>
      <c r="ED50" s="10"/>
      <c r="EE50" s="10"/>
      <c r="EF50" s="10"/>
      <c r="EG50" s="10"/>
      <c r="EK50" s="10"/>
      <c r="EL50" s="10"/>
      <c r="EM50" s="10"/>
      <c r="EN50" s="10"/>
    </row>
    <row r="51" spans="2:144" ht="16" hidden="1" customHeight="1" outlineLevel="1" x14ac:dyDescent="0.2">
      <c r="B51" t="s">
        <v>29</v>
      </c>
      <c r="C51" t="s">
        <v>108</v>
      </c>
      <c r="E51" s="9"/>
      <c r="F51" t="s">
        <v>39</v>
      </c>
      <c r="G51" s="10"/>
      <c r="I51" s="9">
        <f t="shared" si="3"/>
        <v>0</v>
      </c>
      <c r="J51" s="11" cm="1">
        <f t="array" ref="J51">MAX(IF($N$3:$EH$3=$J$3,N51:EH51))</f>
        <v>0</v>
      </c>
      <c r="K51" s="11" cm="1">
        <f t="array" ref="K51">MAX(IF($N$3:$EH$3=$J$3,N51:EH51))</f>
        <v>0</v>
      </c>
      <c r="L51" s="9"/>
      <c r="O51" s="10"/>
      <c r="P51" s="10"/>
      <c r="Q51" s="10"/>
      <c r="R51" s="10"/>
      <c r="V51" s="10"/>
      <c r="W51" s="10"/>
      <c r="X51" s="10"/>
      <c r="Y51" s="10"/>
      <c r="AC51" s="10"/>
      <c r="AD51" s="10">
        <v>0.5</v>
      </c>
      <c r="AE51" s="10"/>
      <c r="AF51" s="10">
        <v>0.5</v>
      </c>
      <c r="AJ51" s="10"/>
      <c r="AK51" s="10">
        <v>0.5</v>
      </c>
      <c r="AL51" s="10"/>
      <c r="AM51" s="10">
        <v>0.5</v>
      </c>
      <c r="AQ51" s="10"/>
      <c r="AR51" s="10">
        <v>1</v>
      </c>
      <c r="AS51" s="10"/>
      <c r="AT51" s="10">
        <v>1</v>
      </c>
      <c r="AX51" s="10"/>
      <c r="AY51" s="10"/>
      <c r="AZ51" s="10"/>
      <c r="BA51" s="10"/>
      <c r="BE51" s="10"/>
      <c r="BF51" s="10"/>
      <c r="BG51" s="10"/>
      <c r="BH51" s="10"/>
      <c r="BL51" s="10"/>
      <c r="BM51" s="10"/>
      <c r="BN51" s="10"/>
      <c r="BO51" s="10">
        <v>0.8</v>
      </c>
      <c r="BS51" s="10"/>
      <c r="BT51" s="10">
        <v>0.8</v>
      </c>
      <c r="BU51" s="10"/>
      <c r="BV51" s="10">
        <v>0.8</v>
      </c>
      <c r="BZ51" s="10"/>
      <c r="CA51" s="10">
        <v>0.8</v>
      </c>
      <c r="CB51" s="10"/>
      <c r="CC51" s="10">
        <v>0.8</v>
      </c>
      <c r="CG51" s="10"/>
      <c r="CH51" s="10">
        <v>1</v>
      </c>
      <c r="CI51" s="10"/>
      <c r="CJ51" s="10">
        <v>1</v>
      </c>
      <c r="CN51" s="10"/>
      <c r="CO51" s="10"/>
      <c r="CP51" s="10"/>
      <c r="CQ51" s="10"/>
      <c r="CU51" s="10"/>
      <c r="CV51" s="10"/>
      <c r="CW51" s="10"/>
      <c r="CX51" s="10"/>
      <c r="DB51" s="10"/>
      <c r="DC51" s="10"/>
      <c r="DD51" s="10"/>
      <c r="DE51" s="10"/>
      <c r="DI51" s="10"/>
      <c r="DJ51" s="10"/>
      <c r="DK51" s="10"/>
      <c r="DL51" s="10"/>
      <c r="DP51" s="10"/>
      <c r="DQ51" s="10"/>
      <c r="DR51" s="10"/>
      <c r="DS51" s="10"/>
      <c r="DW51" s="10"/>
      <c r="DX51" s="10"/>
      <c r="DY51" s="10"/>
      <c r="DZ51" s="10"/>
      <c r="ED51" s="10"/>
      <c r="EE51" s="10"/>
      <c r="EF51" s="10"/>
      <c r="EG51" s="10"/>
      <c r="EK51" s="10"/>
      <c r="EL51" s="10"/>
      <c r="EM51" s="10"/>
      <c r="EN51" s="10"/>
    </row>
    <row r="52" spans="2:144" ht="16" hidden="1" customHeight="1" outlineLevel="1" x14ac:dyDescent="0.2">
      <c r="B52" t="s">
        <v>29</v>
      </c>
      <c r="C52" t="s">
        <v>108</v>
      </c>
      <c r="E52" s="9"/>
      <c r="F52" t="s">
        <v>40</v>
      </c>
      <c r="G52" s="10"/>
      <c r="I52" s="9">
        <f t="shared" si="3"/>
        <v>0</v>
      </c>
      <c r="J52" s="11" cm="1">
        <f t="array" ref="J52">MAX(IF($N$3:$EH$3=$J$3,N52:EH52))</f>
        <v>0</v>
      </c>
      <c r="K52" s="11" cm="1">
        <f t="array" ref="K52">MAX(IF($N$3:$EH$3=$J$3,N52:EH52))</f>
        <v>0</v>
      </c>
      <c r="L52" s="9"/>
      <c r="O52" s="10"/>
      <c r="P52" s="10"/>
      <c r="Q52" s="10"/>
      <c r="R52" s="10"/>
      <c r="V52" s="10"/>
      <c r="W52" s="10"/>
      <c r="X52" s="10"/>
      <c r="Y52" s="10"/>
      <c r="AC52" s="10"/>
      <c r="AD52" s="10">
        <v>0.5</v>
      </c>
      <c r="AE52" s="10"/>
      <c r="AF52" s="10">
        <v>0.5</v>
      </c>
      <c r="AJ52" s="10"/>
      <c r="AK52" s="10">
        <v>0.5</v>
      </c>
      <c r="AL52" s="10"/>
      <c r="AM52" s="10">
        <v>0.5</v>
      </c>
      <c r="AQ52" s="10"/>
      <c r="AR52" s="10">
        <v>1</v>
      </c>
      <c r="AS52" s="10"/>
      <c r="AT52" s="10">
        <v>1</v>
      </c>
      <c r="AX52" s="10"/>
      <c r="AY52" s="10"/>
      <c r="AZ52" s="10"/>
      <c r="BA52" s="10"/>
      <c r="BE52" s="10"/>
      <c r="BF52" s="10"/>
      <c r="BG52" s="10"/>
      <c r="BH52" s="10"/>
      <c r="BL52" s="10"/>
      <c r="BM52" s="10"/>
      <c r="BN52" s="10"/>
      <c r="BO52" s="10">
        <v>0.8</v>
      </c>
      <c r="BS52" s="10"/>
      <c r="BT52" s="10">
        <v>0.8</v>
      </c>
      <c r="BU52" s="10"/>
      <c r="BV52" s="10">
        <v>0.8</v>
      </c>
      <c r="BZ52" s="10"/>
      <c r="CA52" s="10">
        <v>0.8</v>
      </c>
      <c r="CB52" s="10"/>
      <c r="CC52" s="10">
        <v>0.8</v>
      </c>
      <c r="CG52" s="10"/>
      <c r="CH52" s="10">
        <v>1</v>
      </c>
      <c r="CI52" s="10"/>
      <c r="CJ52" s="10">
        <v>1</v>
      </c>
      <c r="CN52" s="10"/>
      <c r="CO52" s="10"/>
      <c r="CP52" s="10"/>
      <c r="CQ52" s="10"/>
      <c r="CU52" s="10"/>
      <c r="CV52" s="10"/>
      <c r="CW52" s="10"/>
      <c r="CX52" s="10"/>
      <c r="DB52" s="10"/>
      <c r="DC52" s="10"/>
      <c r="DD52" s="10"/>
      <c r="DE52" s="10"/>
      <c r="DI52" s="10"/>
      <c r="DJ52" s="10"/>
      <c r="DK52" s="10"/>
      <c r="DL52" s="10"/>
      <c r="DP52" s="10"/>
      <c r="DQ52" s="10"/>
      <c r="DR52" s="10"/>
      <c r="DS52" s="10"/>
      <c r="DW52" s="10"/>
      <c r="DX52" s="10"/>
      <c r="DY52" s="10"/>
      <c r="DZ52" s="10"/>
      <c r="ED52" s="10"/>
      <c r="EE52" s="10"/>
      <c r="EF52" s="10"/>
      <c r="EG52" s="10"/>
      <c r="EK52" s="10"/>
      <c r="EL52" s="10"/>
      <c r="EM52" s="10"/>
      <c r="EN52" s="10"/>
    </row>
    <row r="53" spans="2:144" ht="16" hidden="1" customHeight="1" outlineLevel="1" x14ac:dyDescent="0.2">
      <c r="B53" t="s">
        <v>29</v>
      </c>
      <c r="C53" t="s">
        <v>108</v>
      </c>
      <c r="E53" s="9"/>
      <c r="F53" t="s">
        <v>41</v>
      </c>
      <c r="G53" s="10"/>
      <c r="I53" s="9">
        <f t="shared" si="3"/>
        <v>0</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v>0.5</v>
      </c>
      <c r="AL53" s="10"/>
      <c r="AM53" s="10">
        <v>0.5</v>
      </c>
      <c r="AQ53" s="10"/>
      <c r="AR53" s="10">
        <v>1</v>
      </c>
      <c r="AS53" s="10"/>
      <c r="AT53" s="10">
        <v>1</v>
      </c>
      <c r="AX53" s="10"/>
      <c r="AY53" s="10"/>
      <c r="AZ53" s="10"/>
      <c r="BA53" s="10"/>
      <c r="BE53" s="10"/>
      <c r="BF53" s="10"/>
      <c r="BG53" s="10"/>
      <c r="BH53" s="10"/>
      <c r="BL53" s="10"/>
      <c r="BM53" s="10"/>
      <c r="BN53" s="10"/>
      <c r="BO53" s="10">
        <v>0.8</v>
      </c>
      <c r="BS53" s="10"/>
      <c r="BT53" s="10">
        <v>0.8</v>
      </c>
      <c r="BU53" s="10"/>
      <c r="BV53" s="10">
        <v>0.8</v>
      </c>
      <c r="BZ53" s="10"/>
      <c r="CA53" s="10">
        <v>0.8</v>
      </c>
      <c r="CB53" s="10"/>
      <c r="CC53" s="10">
        <v>0.8</v>
      </c>
      <c r="CG53" s="10"/>
      <c r="CH53" s="10">
        <v>1</v>
      </c>
      <c r="CI53" s="10"/>
      <c r="CJ53" s="10">
        <v>1</v>
      </c>
      <c r="CN53" s="10"/>
      <c r="CO53" s="10"/>
      <c r="CP53" s="10"/>
      <c r="CQ53" s="10"/>
      <c r="CU53" s="10"/>
      <c r="CV53" s="10"/>
      <c r="CW53" s="10"/>
      <c r="CX53" s="10"/>
      <c r="DB53" s="10"/>
      <c r="DC53" s="10"/>
      <c r="DD53" s="10"/>
      <c r="DE53" s="10"/>
      <c r="DI53" s="10"/>
      <c r="DJ53" s="10"/>
      <c r="DK53" s="10"/>
      <c r="DL53" s="10"/>
      <c r="DP53" s="10"/>
      <c r="DQ53" s="10"/>
      <c r="DR53" s="10"/>
      <c r="DS53" s="10"/>
      <c r="DW53" s="10"/>
      <c r="DX53" s="10"/>
      <c r="DY53" s="10"/>
      <c r="DZ53" s="10"/>
      <c r="ED53" s="10"/>
      <c r="EE53" s="10"/>
      <c r="EF53" s="10"/>
      <c r="EG53" s="10"/>
      <c r="EK53" s="10"/>
      <c r="EL53" s="10"/>
      <c r="EM53" s="10"/>
      <c r="EN53" s="10"/>
    </row>
    <row r="54" spans="2:144" ht="16" hidden="1" customHeight="1" outlineLevel="1" x14ac:dyDescent="0.2">
      <c r="B54" t="s">
        <v>29</v>
      </c>
      <c r="C54" t="s">
        <v>108</v>
      </c>
      <c r="E54" s="9"/>
      <c r="F54" t="s">
        <v>42</v>
      </c>
      <c r="G54" s="10"/>
      <c r="I54" s="9">
        <f t="shared" si="3"/>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v>0.5</v>
      </c>
      <c r="AL54" s="10"/>
      <c r="AM54" s="10">
        <v>0.5</v>
      </c>
      <c r="AQ54" s="10"/>
      <c r="AR54" s="10">
        <v>1</v>
      </c>
      <c r="AS54" s="10"/>
      <c r="AT54" s="10">
        <v>1</v>
      </c>
      <c r="AX54" s="10"/>
      <c r="AY54" s="10"/>
      <c r="AZ54" s="10"/>
      <c r="BA54" s="10"/>
      <c r="BE54" s="10"/>
      <c r="BF54" s="10"/>
      <c r="BG54" s="10"/>
      <c r="BH54" s="10"/>
      <c r="BL54" s="10"/>
      <c r="BM54" s="10"/>
      <c r="BN54" s="10"/>
      <c r="BO54" s="10">
        <v>0.5</v>
      </c>
      <c r="BS54" s="10"/>
      <c r="BT54" s="10">
        <v>0.8</v>
      </c>
      <c r="BU54" s="10"/>
      <c r="BV54" s="10">
        <v>0.8</v>
      </c>
      <c r="BZ54" s="10"/>
      <c r="CA54" s="10">
        <v>0.8</v>
      </c>
      <c r="CB54" s="10"/>
      <c r="CC54" s="10">
        <v>0.8</v>
      </c>
      <c r="CG54" s="10"/>
      <c r="CH54" s="10">
        <v>1</v>
      </c>
      <c r="CI54" s="10"/>
      <c r="CJ54" s="10">
        <v>1</v>
      </c>
      <c r="CN54" s="10"/>
      <c r="CO54" s="10"/>
      <c r="CP54" s="10"/>
      <c r="CQ54" s="10"/>
      <c r="CU54" s="10"/>
      <c r="CV54" s="10"/>
      <c r="CW54" s="10"/>
      <c r="CX54" s="10"/>
      <c r="DB54" s="10"/>
      <c r="DC54" s="10"/>
      <c r="DD54" s="10"/>
      <c r="DE54" s="10"/>
      <c r="DI54" s="10"/>
      <c r="DJ54" s="10"/>
      <c r="DK54" s="10"/>
      <c r="DL54" s="10"/>
      <c r="DP54" s="10"/>
      <c r="DQ54" s="10"/>
      <c r="DR54" s="10"/>
      <c r="DS54" s="10"/>
      <c r="DW54" s="10"/>
      <c r="DX54" s="10"/>
      <c r="DY54" s="10"/>
      <c r="DZ54" s="10"/>
      <c r="ED54" s="10"/>
      <c r="EE54" s="10"/>
      <c r="EF54" s="10"/>
      <c r="EG54" s="10"/>
      <c r="EK54" s="10"/>
      <c r="EL54" s="10"/>
      <c r="EM54" s="10"/>
      <c r="EN54" s="10"/>
    </row>
    <row r="55" spans="2:144" collapsed="1" x14ac:dyDescent="0.2"/>
    <row r="56" spans="2:144" x14ac:dyDescent="0.2">
      <c r="B56" t="s">
        <v>28</v>
      </c>
      <c r="C56" t="s">
        <v>114</v>
      </c>
      <c r="D56" s="19">
        <v>44985</v>
      </c>
      <c r="E56" s="9">
        <v>10</v>
      </c>
      <c r="G56" s="10">
        <f>+SUM(G57:G66)</f>
        <v>0</v>
      </c>
      <c r="I56" s="12">
        <f>+SUM(I57:I66)</f>
        <v>0</v>
      </c>
      <c r="J56" s="11">
        <f>+SUMPRODUCT(G57:G66,J57:J66)</f>
        <v>0</v>
      </c>
      <c r="K56" s="11">
        <f>+SUMPRODUCT(G57:G66,K57:K66)</f>
        <v>0</v>
      </c>
      <c r="L56" s="9"/>
      <c r="N56" s="12">
        <f>+SUM(N57:N66)</f>
        <v>0</v>
      </c>
      <c r="U56" s="12">
        <f>+SUM(U57:U66)</f>
        <v>0</v>
      </c>
      <c r="AB56" s="12">
        <f>+SUM(AB57:AB66)</f>
        <v>0</v>
      </c>
      <c r="AI56" s="12">
        <f>+SUM(AI57:AI66)</f>
        <v>0</v>
      </c>
      <c r="AP56" s="12">
        <f>+SUM(AP57:AP66)</f>
        <v>0</v>
      </c>
    </row>
    <row r="57" spans="2:144" ht="16" hidden="1" customHeight="1" outlineLevel="1" x14ac:dyDescent="0.2">
      <c r="B57" t="s">
        <v>29</v>
      </c>
      <c r="C57" t="s">
        <v>108</v>
      </c>
      <c r="E57" s="9"/>
      <c r="F57" t="s">
        <v>31</v>
      </c>
      <c r="G57" s="10"/>
      <c r="I57" s="9">
        <f t="shared" ref="I57:I66" si="4">+SUMIF($N$3:$ZZ$3,I$3,$N57:$ZZ57)</f>
        <v>0</v>
      </c>
      <c r="J57" s="11" cm="1">
        <f t="array" ref="J57">MAX(IF($N$3:$EH$3=$J$3,N57:EH57))</f>
        <v>0</v>
      </c>
      <c r="K57" s="11" cm="1">
        <f t="array" ref="K57">MAX(IF($N$3:$EH$3=$J$3,N57:EH57))</f>
        <v>0</v>
      </c>
      <c r="L57" s="9"/>
      <c r="O57" s="10"/>
      <c r="P57" s="10">
        <v>0.5</v>
      </c>
      <c r="Q57" s="10"/>
      <c r="R57" s="10">
        <v>0.5</v>
      </c>
      <c r="V57" s="10"/>
      <c r="W57" s="10">
        <v>0.8</v>
      </c>
      <c r="X57" s="10"/>
      <c r="Y57" s="10">
        <v>0.8</v>
      </c>
      <c r="AC57" s="10"/>
      <c r="AD57" s="10">
        <v>0.8</v>
      </c>
      <c r="AE57" s="10"/>
      <c r="AF57" s="10">
        <v>0.8</v>
      </c>
      <c r="AJ57" s="10"/>
      <c r="AK57" s="10">
        <v>1</v>
      </c>
      <c r="AL57" s="10"/>
      <c r="AM57" s="10">
        <v>1</v>
      </c>
      <c r="AQ57" s="10"/>
      <c r="AR57" s="10">
        <v>1</v>
      </c>
      <c r="AS57" s="10"/>
      <c r="AT57" s="10">
        <v>1</v>
      </c>
      <c r="AX57" s="10"/>
      <c r="AY57" s="10"/>
      <c r="AZ57" s="10"/>
      <c r="BA57" s="10"/>
      <c r="BE57" s="10"/>
      <c r="BF57" s="10"/>
      <c r="BG57" s="10"/>
      <c r="BH57" s="10"/>
      <c r="BL57" s="10"/>
      <c r="BM57" s="10"/>
      <c r="BN57" s="10"/>
      <c r="BO57" s="10">
        <v>1</v>
      </c>
      <c r="BS57" s="10"/>
      <c r="BT57" s="10">
        <v>1</v>
      </c>
      <c r="BU57" s="10"/>
      <c r="BV57" s="10">
        <v>1</v>
      </c>
      <c r="BZ57" s="10"/>
      <c r="CA57" s="10">
        <v>1</v>
      </c>
      <c r="CB57" s="10"/>
      <c r="CC57" s="10">
        <v>1</v>
      </c>
      <c r="CG57" s="10"/>
      <c r="CH57" s="10">
        <v>1</v>
      </c>
      <c r="CI57" s="10"/>
      <c r="CJ57" s="10">
        <v>1</v>
      </c>
      <c r="CN57" s="10"/>
      <c r="CO57" s="10"/>
      <c r="CP57" s="10"/>
      <c r="CQ57" s="10"/>
      <c r="CU57" s="10"/>
      <c r="CV57" s="10"/>
      <c r="CW57" s="10"/>
      <c r="CX57" s="10"/>
      <c r="DB57" s="10"/>
      <c r="DC57" s="10"/>
      <c r="DD57" s="10"/>
      <c r="DE57" s="10"/>
      <c r="DI57" s="10"/>
      <c r="DJ57" s="10"/>
      <c r="DK57" s="10"/>
      <c r="DL57" s="10"/>
      <c r="DP57" s="10"/>
      <c r="DQ57" s="10"/>
      <c r="DR57" s="10"/>
      <c r="DS57" s="10"/>
      <c r="DW57" s="10"/>
      <c r="DX57" s="10"/>
      <c r="DY57" s="10"/>
      <c r="DZ57" s="10"/>
      <c r="ED57" s="10"/>
      <c r="EE57" s="10"/>
      <c r="EF57" s="10"/>
      <c r="EG57" s="10"/>
      <c r="EK57" s="10"/>
      <c r="EL57" s="10"/>
      <c r="EM57" s="10"/>
      <c r="EN57" s="10"/>
    </row>
    <row r="58" spans="2:144" ht="16" hidden="1" customHeight="1" outlineLevel="1" x14ac:dyDescent="0.2">
      <c r="B58" t="s">
        <v>29</v>
      </c>
      <c r="C58" t="s">
        <v>108</v>
      </c>
      <c r="E58" s="9"/>
      <c r="F58" t="s">
        <v>34</v>
      </c>
      <c r="G58" s="10"/>
      <c r="I58" s="9">
        <f t="shared" si="4"/>
        <v>0</v>
      </c>
      <c r="J58" s="11" cm="1">
        <f t="array" ref="J58">MAX(IF($N$3:$EH$3=$J$3,N58:EH58))</f>
        <v>0</v>
      </c>
      <c r="K58" s="11" cm="1">
        <f t="array" ref="K58">MAX(IF($N$3:$EH$3=$J$3,N58:EH58))</f>
        <v>0</v>
      </c>
      <c r="L58" s="9"/>
      <c r="O58" s="10"/>
      <c r="P58" s="10">
        <v>0.5</v>
      </c>
      <c r="Q58" s="10"/>
      <c r="R58" s="10">
        <v>0.5</v>
      </c>
      <c r="V58" s="10"/>
      <c r="W58" s="10">
        <v>0.8</v>
      </c>
      <c r="X58" s="10"/>
      <c r="Y58" s="10">
        <v>0.8</v>
      </c>
      <c r="AC58" s="10"/>
      <c r="AD58" s="10">
        <v>0.8</v>
      </c>
      <c r="AE58" s="10"/>
      <c r="AF58" s="10">
        <v>0.8</v>
      </c>
      <c r="AJ58" s="10"/>
      <c r="AK58" s="10">
        <v>1</v>
      </c>
      <c r="AL58" s="10"/>
      <c r="AM58" s="10">
        <v>1</v>
      </c>
      <c r="AQ58" s="10"/>
      <c r="AR58" s="10">
        <v>1</v>
      </c>
      <c r="AS58" s="10"/>
      <c r="AT58" s="10">
        <v>1</v>
      </c>
      <c r="AX58" s="10"/>
      <c r="AY58" s="10"/>
      <c r="AZ58" s="10"/>
      <c r="BA58" s="10"/>
      <c r="BE58" s="10"/>
      <c r="BF58" s="10"/>
      <c r="BG58" s="10"/>
      <c r="BH58" s="10"/>
      <c r="BL58" s="10"/>
      <c r="BM58" s="10"/>
      <c r="BN58" s="10"/>
      <c r="BO58" s="10">
        <v>1</v>
      </c>
      <c r="BS58" s="10"/>
      <c r="BT58" s="10">
        <v>1</v>
      </c>
      <c r="BU58" s="10"/>
      <c r="BV58" s="10">
        <v>1</v>
      </c>
      <c r="BZ58" s="10"/>
      <c r="CA58" s="10">
        <v>1</v>
      </c>
      <c r="CB58" s="10"/>
      <c r="CC58" s="10">
        <v>1</v>
      </c>
      <c r="CG58" s="10"/>
      <c r="CH58" s="10">
        <v>1</v>
      </c>
      <c r="CI58" s="10"/>
      <c r="CJ58" s="10">
        <v>1</v>
      </c>
      <c r="CN58" s="10"/>
      <c r="CO58" s="10"/>
      <c r="CP58" s="10"/>
      <c r="CQ58" s="10"/>
      <c r="CU58" s="10"/>
      <c r="CV58" s="10"/>
      <c r="CW58" s="10"/>
      <c r="CX58" s="10"/>
      <c r="DB58" s="10"/>
      <c r="DC58" s="10"/>
      <c r="DD58" s="10"/>
      <c r="DE58" s="10"/>
      <c r="DI58" s="10"/>
      <c r="DJ58" s="10"/>
      <c r="DK58" s="10"/>
      <c r="DL58" s="10"/>
      <c r="DP58" s="10"/>
      <c r="DQ58" s="10"/>
      <c r="DR58" s="10"/>
      <c r="DS58" s="10"/>
      <c r="DW58" s="10"/>
      <c r="DX58" s="10"/>
      <c r="DY58" s="10"/>
      <c r="DZ58" s="10"/>
      <c r="ED58" s="10"/>
      <c r="EE58" s="10"/>
      <c r="EF58" s="10"/>
      <c r="EG58" s="10"/>
      <c r="EK58" s="10"/>
      <c r="EL58" s="10"/>
      <c r="EM58" s="10"/>
      <c r="EN58" s="10"/>
    </row>
    <row r="59" spans="2:144" ht="16" hidden="1" customHeight="1" outlineLevel="1" x14ac:dyDescent="0.2">
      <c r="B59" t="s">
        <v>29</v>
      </c>
      <c r="C59" t="s">
        <v>108</v>
      </c>
      <c r="E59" s="9"/>
      <c r="F59" t="s">
        <v>35</v>
      </c>
      <c r="G59" s="10"/>
      <c r="I59" s="9">
        <f t="shared" si="4"/>
        <v>0</v>
      </c>
      <c r="J59" s="11" cm="1">
        <f t="array" ref="J59">MAX(IF($N$3:$EH$3=$J$3,N59:EH59))</f>
        <v>0</v>
      </c>
      <c r="K59" s="11" cm="1">
        <f t="array" ref="K59">MAX(IF($N$3:$EH$3=$J$3,N59:EH59))</f>
        <v>0</v>
      </c>
      <c r="L59" s="9"/>
      <c r="O59" s="10"/>
      <c r="P59" s="10">
        <v>0.5</v>
      </c>
      <c r="Q59" s="10"/>
      <c r="R59" s="10">
        <v>0.5</v>
      </c>
      <c r="V59" s="10"/>
      <c r="W59" s="10">
        <v>0.5</v>
      </c>
      <c r="X59" s="10"/>
      <c r="Y59" s="10">
        <v>0.5</v>
      </c>
      <c r="AC59" s="10"/>
      <c r="AD59" s="10">
        <v>0.8</v>
      </c>
      <c r="AE59" s="10"/>
      <c r="AF59" s="10">
        <v>0.8</v>
      </c>
      <c r="AJ59" s="10"/>
      <c r="AK59" s="10">
        <v>0.8</v>
      </c>
      <c r="AL59" s="10"/>
      <c r="AM59" s="10">
        <v>0.8</v>
      </c>
      <c r="AQ59" s="10"/>
      <c r="AR59" s="10">
        <v>1</v>
      </c>
      <c r="AS59" s="10"/>
      <c r="AT59" s="10">
        <v>1</v>
      </c>
      <c r="AX59" s="10"/>
      <c r="AY59" s="10"/>
      <c r="AZ59" s="10"/>
      <c r="BA59" s="10"/>
      <c r="BE59" s="10"/>
      <c r="BF59" s="10"/>
      <c r="BG59" s="10"/>
      <c r="BH59" s="10"/>
      <c r="BL59" s="10"/>
      <c r="BM59" s="10"/>
      <c r="BN59" s="10"/>
      <c r="BO59" s="10">
        <v>0.8</v>
      </c>
      <c r="BS59" s="10"/>
      <c r="BT59" s="10">
        <v>1</v>
      </c>
      <c r="BU59" s="10"/>
      <c r="BV59" s="10">
        <v>1</v>
      </c>
      <c r="BZ59" s="10"/>
      <c r="CA59" s="10">
        <v>1</v>
      </c>
      <c r="CB59" s="10"/>
      <c r="CC59" s="10">
        <v>1</v>
      </c>
      <c r="CG59" s="10"/>
      <c r="CH59" s="10">
        <v>1</v>
      </c>
      <c r="CI59" s="10"/>
      <c r="CJ59" s="10">
        <v>1</v>
      </c>
      <c r="CN59" s="10"/>
      <c r="CO59" s="10"/>
      <c r="CP59" s="10"/>
      <c r="CQ59" s="10"/>
      <c r="CU59" s="10"/>
      <c r="CV59" s="10"/>
      <c r="CW59" s="10"/>
      <c r="CX59" s="10"/>
      <c r="DB59" s="10"/>
      <c r="DC59" s="10"/>
      <c r="DD59" s="10"/>
      <c r="DE59" s="10"/>
      <c r="DI59" s="10"/>
      <c r="DJ59" s="10"/>
      <c r="DK59" s="10"/>
      <c r="DL59" s="10"/>
      <c r="DP59" s="10"/>
      <c r="DQ59" s="10"/>
      <c r="DR59" s="10"/>
      <c r="DS59" s="10"/>
      <c r="DW59" s="10"/>
      <c r="DX59" s="10"/>
      <c r="DY59" s="10"/>
      <c r="DZ59" s="10"/>
      <c r="ED59" s="10"/>
      <c r="EE59" s="10"/>
      <c r="EF59" s="10"/>
      <c r="EG59" s="10"/>
      <c r="EK59" s="10"/>
      <c r="EL59" s="10"/>
      <c r="EM59" s="10"/>
      <c r="EN59" s="10"/>
    </row>
    <row r="60" spans="2:144" ht="16" hidden="1" customHeight="1" outlineLevel="1" x14ac:dyDescent="0.2">
      <c r="B60" t="s">
        <v>29</v>
      </c>
      <c r="C60" t="s">
        <v>108</v>
      </c>
      <c r="E60" s="9"/>
      <c r="F60" t="s">
        <v>36</v>
      </c>
      <c r="G60" s="10"/>
      <c r="I60" s="9">
        <f t="shared" si="4"/>
        <v>0</v>
      </c>
      <c r="J60" s="11" cm="1">
        <f t="array" ref="J60">MAX(IF($N$3:$EH$3=$J$3,N60:EH60))</f>
        <v>0</v>
      </c>
      <c r="K60" s="11" cm="1">
        <f t="array" ref="K60">MAX(IF($N$3:$EH$3=$J$3,N60:EH60))</f>
        <v>0</v>
      </c>
      <c r="L60" s="9"/>
      <c r="O60" s="10"/>
      <c r="P60" s="10">
        <v>0.5</v>
      </c>
      <c r="Q60" s="10"/>
      <c r="R60" s="10">
        <v>0.5</v>
      </c>
      <c r="V60" s="10"/>
      <c r="W60" s="10">
        <v>0.5</v>
      </c>
      <c r="X60" s="10"/>
      <c r="Y60" s="10">
        <v>0.5</v>
      </c>
      <c r="AC60" s="10"/>
      <c r="AD60" s="10">
        <v>0.8</v>
      </c>
      <c r="AE60" s="10"/>
      <c r="AF60" s="10">
        <v>0.8</v>
      </c>
      <c r="AJ60" s="10"/>
      <c r="AK60" s="10">
        <v>0.8</v>
      </c>
      <c r="AL60" s="10"/>
      <c r="AM60" s="10">
        <v>0.8</v>
      </c>
      <c r="AQ60" s="10"/>
      <c r="AR60" s="10">
        <v>1</v>
      </c>
      <c r="AS60" s="10"/>
      <c r="AT60" s="10">
        <v>1</v>
      </c>
      <c r="AX60" s="10"/>
      <c r="AY60" s="10"/>
      <c r="AZ60" s="10"/>
      <c r="BA60" s="10"/>
      <c r="BE60" s="10"/>
      <c r="BF60" s="10"/>
      <c r="BG60" s="10"/>
      <c r="BH60" s="10"/>
      <c r="BL60" s="10"/>
      <c r="BM60" s="10"/>
      <c r="BN60" s="10"/>
      <c r="BO60" s="10">
        <v>0.8</v>
      </c>
      <c r="BS60" s="10"/>
      <c r="BT60" s="10">
        <v>0.8</v>
      </c>
      <c r="BU60" s="10"/>
      <c r="BV60" s="10">
        <v>0.8</v>
      </c>
      <c r="BZ60" s="10"/>
      <c r="CA60" s="10">
        <v>1</v>
      </c>
      <c r="CB60" s="10"/>
      <c r="CC60" s="10">
        <v>1</v>
      </c>
      <c r="CG60" s="10"/>
      <c r="CH60" s="10">
        <v>1</v>
      </c>
      <c r="CI60" s="10"/>
      <c r="CJ60" s="10">
        <v>1</v>
      </c>
      <c r="CN60" s="10"/>
      <c r="CO60" s="10"/>
      <c r="CP60" s="10"/>
      <c r="CQ60" s="10"/>
      <c r="CU60" s="10"/>
      <c r="CV60" s="10"/>
      <c r="CW60" s="10"/>
      <c r="CX60" s="10"/>
      <c r="DB60" s="10"/>
      <c r="DC60" s="10"/>
      <c r="DD60" s="10"/>
      <c r="DE60" s="10"/>
      <c r="DI60" s="10"/>
      <c r="DJ60" s="10"/>
      <c r="DK60" s="10"/>
      <c r="DL60" s="10"/>
      <c r="DP60" s="10"/>
      <c r="DQ60" s="10"/>
      <c r="DR60" s="10"/>
      <c r="DS60" s="10"/>
      <c r="DW60" s="10"/>
      <c r="DX60" s="10"/>
      <c r="DY60" s="10"/>
      <c r="DZ60" s="10"/>
      <c r="ED60" s="10"/>
      <c r="EE60" s="10"/>
      <c r="EF60" s="10"/>
      <c r="EG60" s="10"/>
      <c r="EK60" s="10"/>
      <c r="EL60" s="10"/>
      <c r="EM60" s="10"/>
      <c r="EN60" s="10"/>
    </row>
    <row r="61" spans="2:144" ht="16" hidden="1" customHeight="1" outlineLevel="1" x14ac:dyDescent="0.2">
      <c r="B61" t="s">
        <v>29</v>
      </c>
      <c r="C61" t="s">
        <v>108</v>
      </c>
      <c r="E61" s="9"/>
      <c r="F61" t="s">
        <v>37</v>
      </c>
      <c r="G61" s="10"/>
      <c r="I61" s="9">
        <f t="shared" si="4"/>
        <v>0</v>
      </c>
      <c r="J61" s="11" cm="1">
        <f t="array" ref="J61">MAX(IF($N$3:$EH$3=$J$3,N61:EH61))</f>
        <v>0</v>
      </c>
      <c r="K61" s="11" cm="1">
        <f t="array" ref="K61">MAX(IF($N$3:$EH$3=$J$3,N61:EH61))</f>
        <v>0</v>
      </c>
      <c r="L61" s="9"/>
      <c r="O61" s="10"/>
      <c r="P61" s="10"/>
      <c r="Q61" s="10"/>
      <c r="R61" s="10"/>
      <c r="V61" s="10"/>
      <c r="W61" s="10">
        <v>0.5</v>
      </c>
      <c r="X61" s="10"/>
      <c r="Y61" s="10">
        <v>0.5</v>
      </c>
      <c r="AC61" s="10"/>
      <c r="AD61" s="10">
        <v>0.5</v>
      </c>
      <c r="AE61" s="10"/>
      <c r="AF61" s="10">
        <v>0.5</v>
      </c>
      <c r="AJ61" s="10"/>
      <c r="AK61" s="10">
        <v>0.5</v>
      </c>
      <c r="AL61" s="10"/>
      <c r="AM61" s="10">
        <v>0.5</v>
      </c>
      <c r="AQ61" s="10"/>
      <c r="AR61" s="10">
        <v>1</v>
      </c>
      <c r="AS61" s="10"/>
      <c r="AT61" s="10">
        <v>1</v>
      </c>
      <c r="AX61" s="10"/>
      <c r="AY61" s="10"/>
      <c r="AZ61" s="10"/>
      <c r="BA61" s="10"/>
      <c r="BE61" s="10"/>
      <c r="BF61" s="10"/>
      <c r="BG61" s="10"/>
      <c r="BH61" s="10"/>
      <c r="BL61" s="10"/>
      <c r="BM61" s="10"/>
      <c r="BN61" s="10"/>
      <c r="BO61" s="10">
        <v>0.8</v>
      </c>
      <c r="BS61" s="10"/>
      <c r="BT61" s="10">
        <v>0.8</v>
      </c>
      <c r="BU61" s="10"/>
      <c r="BV61" s="10">
        <v>0.8</v>
      </c>
      <c r="BZ61" s="10"/>
      <c r="CA61" s="10">
        <v>1</v>
      </c>
      <c r="CB61" s="10"/>
      <c r="CC61" s="10">
        <v>1</v>
      </c>
      <c r="CG61" s="10"/>
      <c r="CH61" s="10">
        <v>1</v>
      </c>
      <c r="CI61" s="10"/>
      <c r="CJ61" s="10">
        <v>1</v>
      </c>
      <c r="CN61" s="10"/>
      <c r="CO61" s="10"/>
      <c r="CP61" s="10"/>
      <c r="CQ61" s="10"/>
      <c r="CU61" s="10"/>
      <c r="CV61" s="10"/>
      <c r="CW61" s="10"/>
      <c r="CX61" s="10"/>
      <c r="DB61" s="10"/>
      <c r="DC61" s="10"/>
      <c r="DD61" s="10"/>
      <c r="DE61" s="10"/>
      <c r="DI61" s="10"/>
      <c r="DJ61" s="10"/>
      <c r="DK61" s="10"/>
      <c r="DL61" s="10"/>
      <c r="DP61" s="10"/>
      <c r="DQ61" s="10"/>
      <c r="DR61" s="10"/>
      <c r="DS61" s="10"/>
      <c r="DW61" s="10"/>
      <c r="DX61" s="10"/>
      <c r="DY61" s="10"/>
      <c r="DZ61" s="10"/>
      <c r="ED61" s="10"/>
      <c r="EE61" s="10"/>
      <c r="EF61" s="10"/>
      <c r="EG61" s="10"/>
      <c r="EK61" s="10"/>
      <c r="EL61" s="10"/>
      <c r="EM61" s="10"/>
      <c r="EN61" s="10"/>
    </row>
    <row r="62" spans="2:144" ht="16" hidden="1" customHeight="1" outlineLevel="1" x14ac:dyDescent="0.2">
      <c r="B62" t="s">
        <v>29</v>
      </c>
      <c r="C62" t="s">
        <v>108</v>
      </c>
      <c r="E62" s="9"/>
      <c r="F62" t="s">
        <v>38</v>
      </c>
      <c r="G62" s="10"/>
      <c r="I62" s="9">
        <f t="shared" si="4"/>
        <v>0</v>
      </c>
      <c r="J62" s="11" cm="1">
        <f t="array" ref="J62">MAX(IF($N$3:$EH$3=$J$3,N62:EH62))</f>
        <v>0</v>
      </c>
      <c r="K62" s="11" cm="1">
        <f t="array" ref="K62">MAX(IF($N$3:$EH$3=$J$3,N62:EH62))</f>
        <v>0</v>
      </c>
      <c r="L62" s="9"/>
      <c r="O62" s="10"/>
      <c r="P62" s="10"/>
      <c r="Q62" s="10"/>
      <c r="R62" s="10"/>
      <c r="V62" s="10"/>
      <c r="W62" s="10">
        <v>0.5</v>
      </c>
      <c r="X62" s="10"/>
      <c r="Y62" s="10">
        <v>0.5</v>
      </c>
      <c r="AC62" s="10"/>
      <c r="AD62" s="10">
        <v>0.5</v>
      </c>
      <c r="AE62" s="10"/>
      <c r="AF62" s="10">
        <v>0.5</v>
      </c>
      <c r="AJ62" s="10"/>
      <c r="AK62" s="10">
        <v>0.5</v>
      </c>
      <c r="AL62" s="10"/>
      <c r="AM62" s="10">
        <v>0.5</v>
      </c>
      <c r="AQ62" s="10"/>
      <c r="AR62" s="10">
        <v>1</v>
      </c>
      <c r="AS62" s="10"/>
      <c r="AT62" s="10">
        <v>1</v>
      </c>
      <c r="AX62" s="10"/>
      <c r="AY62" s="10"/>
      <c r="AZ62" s="10"/>
      <c r="BA62" s="10"/>
      <c r="BE62" s="10"/>
      <c r="BF62" s="10"/>
      <c r="BG62" s="10"/>
      <c r="BH62" s="10"/>
      <c r="BL62" s="10"/>
      <c r="BM62" s="10"/>
      <c r="BN62" s="10"/>
      <c r="BO62" s="10">
        <v>0.8</v>
      </c>
      <c r="BS62" s="10"/>
      <c r="BT62" s="10">
        <v>0.8</v>
      </c>
      <c r="BU62" s="10"/>
      <c r="BV62" s="10">
        <v>0.8</v>
      </c>
      <c r="BZ62" s="10"/>
      <c r="CA62" s="10">
        <v>1</v>
      </c>
      <c r="CB62" s="10"/>
      <c r="CC62" s="10">
        <v>1</v>
      </c>
      <c r="CG62" s="10"/>
      <c r="CH62" s="10">
        <v>1</v>
      </c>
      <c r="CI62" s="10"/>
      <c r="CJ62" s="10">
        <v>1</v>
      </c>
      <c r="CN62" s="10"/>
      <c r="CO62" s="10"/>
      <c r="CP62" s="10"/>
      <c r="CQ62" s="10"/>
      <c r="CU62" s="10"/>
      <c r="CV62" s="10"/>
      <c r="CW62" s="10"/>
      <c r="CX62" s="10"/>
      <c r="DB62" s="10"/>
      <c r="DC62" s="10"/>
      <c r="DD62" s="10"/>
      <c r="DE62" s="10"/>
      <c r="DI62" s="10"/>
      <c r="DJ62" s="10"/>
      <c r="DK62" s="10"/>
      <c r="DL62" s="10"/>
      <c r="DP62" s="10"/>
      <c r="DQ62" s="10"/>
      <c r="DR62" s="10"/>
      <c r="DS62" s="10"/>
      <c r="DW62" s="10"/>
      <c r="DX62" s="10"/>
      <c r="DY62" s="10"/>
      <c r="DZ62" s="10"/>
      <c r="ED62" s="10"/>
      <c r="EE62" s="10"/>
      <c r="EF62" s="10"/>
      <c r="EG62" s="10"/>
      <c r="EK62" s="10"/>
      <c r="EL62" s="10"/>
      <c r="EM62" s="10"/>
      <c r="EN62" s="10"/>
    </row>
    <row r="63" spans="2:144" ht="16" hidden="1" customHeight="1" outlineLevel="1" x14ac:dyDescent="0.2">
      <c r="B63" t="s">
        <v>29</v>
      </c>
      <c r="C63" t="s">
        <v>108</v>
      </c>
      <c r="E63" s="9"/>
      <c r="F63" t="s">
        <v>39</v>
      </c>
      <c r="G63" s="10"/>
      <c r="I63" s="9">
        <f t="shared" si="4"/>
        <v>0</v>
      </c>
      <c r="J63" s="11" cm="1">
        <f t="array" ref="J63">MAX(IF($N$3:$EH$3=$J$3,N63:EH63))</f>
        <v>0</v>
      </c>
      <c r="K63" s="11" cm="1">
        <f t="array" ref="K63">MAX(IF($N$3:$EH$3=$J$3,N63:EH63))</f>
        <v>0</v>
      </c>
      <c r="L63" s="9"/>
      <c r="O63" s="10"/>
      <c r="P63" s="10"/>
      <c r="Q63" s="10"/>
      <c r="R63" s="10"/>
      <c r="V63" s="10"/>
      <c r="W63" s="10"/>
      <c r="X63" s="10"/>
      <c r="Y63" s="10"/>
      <c r="AC63" s="10"/>
      <c r="AD63" s="10">
        <v>0.5</v>
      </c>
      <c r="AE63" s="10"/>
      <c r="AF63" s="10">
        <v>0.5</v>
      </c>
      <c r="AJ63" s="10"/>
      <c r="AK63" s="10">
        <v>0.5</v>
      </c>
      <c r="AL63" s="10"/>
      <c r="AM63" s="10">
        <v>0.5</v>
      </c>
      <c r="AQ63" s="10"/>
      <c r="AR63" s="10">
        <v>1</v>
      </c>
      <c r="AS63" s="10"/>
      <c r="AT63" s="10">
        <v>1</v>
      </c>
      <c r="AX63" s="10"/>
      <c r="AY63" s="10"/>
      <c r="AZ63" s="10"/>
      <c r="BA63" s="10"/>
      <c r="BE63" s="10"/>
      <c r="BF63" s="10"/>
      <c r="BG63" s="10"/>
      <c r="BH63" s="10"/>
      <c r="BL63" s="10"/>
      <c r="BM63" s="10"/>
      <c r="BN63" s="10"/>
      <c r="BO63" s="10">
        <v>0.8</v>
      </c>
      <c r="BS63" s="10"/>
      <c r="BT63" s="10">
        <v>0.8</v>
      </c>
      <c r="BU63" s="10"/>
      <c r="BV63" s="10">
        <v>0.8</v>
      </c>
      <c r="BZ63" s="10"/>
      <c r="CA63" s="10">
        <v>0.8</v>
      </c>
      <c r="CB63" s="10"/>
      <c r="CC63" s="10">
        <v>0.8</v>
      </c>
      <c r="CG63" s="10"/>
      <c r="CH63" s="10">
        <v>1</v>
      </c>
      <c r="CI63" s="10"/>
      <c r="CJ63" s="10">
        <v>1</v>
      </c>
      <c r="CN63" s="10"/>
      <c r="CO63" s="10"/>
      <c r="CP63" s="10"/>
      <c r="CQ63" s="10"/>
      <c r="CU63" s="10"/>
      <c r="CV63" s="10"/>
      <c r="CW63" s="10"/>
      <c r="CX63" s="10"/>
      <c r="DB63" s="10"/>
      <c r="DC63" s="10"/>
      <c r="DD63" s="10"/>
      <c r="DE63" s="10"/>
      <c r="DI63" s="10"/>
      <c r="DJ63" s="10"/>
      <c r="DK63" s="10"/>
      <c r="DL63" s="10"/>
      <c r="DP63" s="10"/>
      <c r="DQ63" s="10"/>
      <c r="DR63" s="10"/>
      <c r="DS63" s="10"/>
      <c r="DW63" s="10"/>
      <c r="DX63" s="10"/>
      <c r="DY63" s="10"/>
      <c r="DZ63" s="10"/>
      <c r="ED63" s="10"/>
      <c r="EE63" s="10"/>
      <c r="EF63" s="10"/>
      <c r="EG63" s="10"/>
      <c r="EK63" s="10"/>
      <c r="EL63" s="10"/>
      <c r="EM63" s="10"/>
      <c r="EN63" s="10"/>
    </row>
    <row r="64" spans="2:144" ht="16" hidden="1" customHeight="1" outlineLevel="1" x14ac:dyDescent="0.2">
      <c r="B64" t="s">
        <v>29</v>
      </c>
      <c r="C64" t="s">
        <v>108</v>
      </c>
      <c r="E64" s="9"/>
      <c r="F64" t="s">
        <v>40</v>
      </c>
      <c r="G64" s="10"/>
      <c r="I64" s="9">
        <f t="shared" si="4"/>
        <v>0</v>
      </c>
      <c r="J64" s="11" cm="1">
        <f t="array" ref="J64">MAX(IF($N$3:$EH$3=$J$3,N64:EH64))</f>
        <v>0</v>
      </c>
      <c r="K64" s="11" cm="1">
        <f t="array" ref="K64">MAX(IF($N$3:$EH$3=$J$3,N64:EH64))</f>
        <v>0</v>
      </c>
      <c r="L64" s="9"/>
      <c r="O64" s="10"/>
      <c r="P64" s="10"/>
      <c r="Q64" s="10"/>
      <c r="R64" s="10"/>
      <c r="V64" s="10"/>
      <c r="W64" s="10"/>
      <c r="X64" s="10"/>
      <c r="Y64" s="10"/>
      <c r="AC64" s="10"/>
      <c r="AD64" s="10">
        <v>0.5</v>
      </c>
      <c r="AE64" s="10"/>
      <c r="AF64" s="10">
        <v>0.5</v>
      </c>
      <c r="AJ64" s="10"/>
      <c r="AK64" s="10">
        <v>0.5</v>
      </c>
      <c r="AL64" s="10"/>
      <c r="AM64" s="10">
        <v>0.5</v>
      </c>
      <c r="AQ64" s="10"/>
      <c r="AR64" s="10">
        <v>1</v>
      </c>
      <c r="AS64" s="10"/>
      <c r="AT64" s="10">
        <v>1</v>
      </c>
      <c r="AX64" s="10"/>
      <c r="AY64" s="10"/>
      <c r="AZ64" s="10"/>
      <c r="BA64" s="10"/>
      <c r="BE64" s="10"/>
      <c r="BF64" s="10"/>
      <c r="BG64" s="10"/>
      <c r="BH64" s="10"/>
      <c r="BL64" s="10"/>
      <c r="BM64" s="10"/>
      <c r="BN64" s="10"/>
      <c r="BO64" s="10">
        <v>0.8</v>
      </c>
      <c r="BS64" s="10"/>
      <c r="BT64" s="10">
        <v>0.8</v>
      </c>
      <c r="BU64" s="10"/>
      <c r="BV64" s="10">
        <v>0.8</v>
      </c>
      <c r="BZ64" s="10"/>
      <c r="CA64" s="10">
        <v>0.8</v>
      </c>
      <c r="CB64" s="10"/>
      <c r="CC64" s="10">
        <v>0.8</v>
      </c>
      <c r="CG64" s="10"/>
      <c r="CH64" s="10">
        <v>1</v>
      </c>
      <c r="CI64" s="10"/>
      <c r="CJ64" s="10">
        <v>1</v>
      </c>
      <c r="CN64" s="10"/>
      <c r="CO64" s="10"/>
      <c r="CP64" s="10"/>
      <c r="CQ64" s="10"/>
      <c r="CU64" s="10"/>
      <c r="CV64" s="10"/>
      <c r="CW64" s="10"/>
      <c r="CX64" s="10"/>
      <c r="DB64" s="10"/>
      <c r="DC64" s="10"/>
      <c r="DD64" s="10"/>
      <c r="DE64" s="10"/>
      <c r="DI64" s="10"/>
      <c r="DJ64" s="10"/>
      <c r="DK64" s="10"/>
      <c r="DL64" s="10"/>
      <c r="DP64" s="10"/>
      <c r="DQ64" s="10"/>
      <c r="DR64" s="10"/>
      <c r="DS64" s="10"/>
      <c r="DW64" s="10"/>
      <c r="DX64" s="10"/>
      <c r="DY64" s="10"/>
      <c r="DZ64" s="10"/>
      <c r="ED64" s="10"/>
      <c r="EE64" s="10"/>
      <c r="EF64" s="10"/>
      <c r="EG64" s="10"/>
      <c r="EK64" s="10"/>
      <c r="EL64" s="10"/>
      <c r="EM64" s="10"/>
      <c r="EN64" s="10"/>
    </row>
    <row r="65" spans="2:144" ht="16" hidden="1" customHeight="1" outlineLevel="1" x14ac:dyDescent="0.2">
      <c r="B65" t="s">
        <v>29</v>
      </c>
      <c r="C65" t="s">
        <v>108</v>
      </c>
      <c r="E65" s="9"/>
      <c r="F65" t="s">
        <v>41</v>
      </c>
      <c r="G65" s="10"/>
      <c r="I65" s="9">
        <f t="shared" si="4"/>
        <v>0</v>
      </c>
      <c r="J65" s="11" cm="1">
        <f t="array" ref="J65">MAX(IF($N$3:$EH$3=$J$3,N65:EH65))</f>
        <v>0</v>
      </c>
      <c r="K65" s="11" cm="1">
        <f t="array" ref="K65">MAX(IF($N$3:$EH$3=$J$3,N65:EH65))</f>
        <v>0</v>
      </c>
      <c r="L65" s="9"/>
      <c r="O65" s="10"/>
      <c r="P65" s="10"/>
      <c r="Q65" s="10"/>
      <c r="R65" s="10"/>
      <c r="V65" s="10"/>
      <c r="W65" s="10"/>
      <c r="X65" s="10"/>
      <c r="Y65" s="10"/>
      <c r="AC65" s="10"/>
      <c r="AD65" s="10"/>
      <c r="AE65" s="10"/>
      <c r="AF65" s="10"/>
      <c r="AJ65" s="10"/>
      <c r="AK65" s="10">
        <v>0.5</v>
      </c>
      <c r="AL65" s="10"/>
      <c r="AM65" s="10">
        <v>0.5</v>
      </c>
      <c r="AQ65" s="10"/>
      <c r="AR65" s="10">
        <v>1</v>
      </c>
      <c r="AS65" s="10"/>
      <c r="AT65" s="10">
        <v>1</v>
      </c>
      <c r="AX65" s="10"/>
      <c r="AY65" s="10"/>
      <c r="AZ65" s="10"/>
      <c r="BA65" s="10"/>
      <c r="BE65" s="10"/>
      <c r="BF65" s="10"/>
      <c r="BG65" s="10"/>
      <c r="BH65" s="10"/>
      <c r="BL65" s="10"/>
      <c r="BM65" s="10"/>
      <c r="BN65" s="10"/>
      <c r="BO65" s="10">
        <v>0.8</v>
      </c>
      <c r="BS65" s="10"/>
      <c r="BT65" s="10">
        <v>0.8</v>
      </c>
      <c r="BU65" s="10"/>
      <c r="BV65" s="10">
        <v>0.8</v>
      </c>
      <c r="BZ65" s="10"/>
      <c r="CA65" s="10">
        <v>0.8</v>
      </c>
      <c r="CB65" s="10"/>
      <c r="CC65" s="10">
        <v>0.8</v>
      </c>
      <c r="CG65" s="10"/>
      <c r="CH65" s="10">
        <v>1</v>
      </c>
      <c r="CI65" s="10"/>
      <c r="CJ65" s="10">
        <v>1</v>
      </c>
      <c r="CN65" s="10"/>
      <c r="CO65" s="10"/>
      <c r="CP65" s="10"/>
      <c r="CQ65" s="10"/>
      <c r="CU65" s="10"/>
      <c r="CV65" s="10"/>
      <c r="CW65" s="10"/>
      <c r="CX65" s="10"/>
      <c r="DB65" s="10"/>
      <c r="DC65" s="10"/>
      <c r="DD65" s="10"/>
      <c r="DE65" s="10"/>
      <c r="DI65" s="10"/>
      <c r="DJ65" s="10"/>
      <c r="DK65" s="10"/>
      <c r="DL65" s="10"/>
      <c r="DP65" s="10"/>
      <c r="DQ65" s="10"/>
      <c r="DR65" s="10"/>
      <c r="DS65" s="10"/>
      <c r="DW65" s="10"/>
      <c r="DX65" s="10"/>
      <c r="DY65" s="10"/>
      <c r="DZ65" s="10"/>
      <c r="ED65" s="10"/>
      <c r="EE65" s="10"/>
      <c r="EF65" s="10"/>
      <c r="EG65" s="10"/>
      <c r="EK65" s="10"/>
      <c r="EL65" s="10"/>
      <c r="EM65" s="10"/>
      <c r="EN65" s="10"/>
    </row>
    <row r="66" spans="2:144" ht="16" hidden="1" customHeight="1" outlineLevel="1" x14ac:dyDescent="0.2">
      <c r="B66" t="s">
        <v>29</v>
      </c>
      <c r="C66" t="s">
        <v>108</v>
      </c>
      <c r="E66" s="9"/>
      <c r="F66" t="s">
        <v>42</v>
      </c>
      <c r="G66" s="10"/>
      <c r="I66" s="9">
        <f t="shared" si="4"/>
        <v>0</v>
      </c>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v>0.5</v>
      </c>
      <c r="AL66" s="10"/>
      <c r="AM66" s="10">
        <v>0.5</v>
      </c>
      <c r="AQ66" s="10"/>
      <c r="AR66" s="10">
        <v>1</v>
      </c>
      <c r="AS66" s="10"/>
      <c r="AT66" s="10">
        <v>1</v>
      </c>
      <c r="AX66" s="10"/>
      <c r="AY66" s="10"/>
      <c r="AZ66" s="10"/>
      <c r="BA66" s="10"/>
      <c r="BE66" s="10"/>
      <c r="BF66" s="10"/>
      <c r="BG66" s="10"/>
      <c r="BH66" s="10"/>
      <c r="BL66" s="10"/>
      <c r="BM66" s="10"/>
      <c r="BN66" s="10"/>
      <c r="BO66" s="10">
        <v>0.5</v>
      </c>
      <c r="BS66" s="10"/>
      <c r="BT66" s="10">
        <v>0.8</v>
      </c>
      <c r="BU66" s="10"/>
      <c r="BV66" s="10">
        <v>0.8</v>
      </c>
      <c r="BZ66" s="10"/>
      <c r="CA66" s="10">
        <v>0.8</v>
      </c>
      <c r="CB66" s="10"/>
      <c r="CC66" s="10">
        <v>0.8</v>
      </c>
      <c r="CG66" s="10"/>
      <c r="CH66" s="10">
        <v>1</v>
      </c>
      <c r="CI66" s="10"/>
      <c r="CJ66" s="10">
        <v>1</v>
      </c>
      <c r="CN66" s="10"/>
      <c r="CO66" s="10"/>
      <c r="CP66" s="10"/>
      <c r="CQ66" s="10"/>
      <c r="CU66" s="10"/>
      <c r="CV66" s="10"/>
      <c r="CW66" s="10"/>
      <c r="CX66" s="10"/>
      <c r="DB66" s="10"/>
      <c r="DC66" s="10"/>
      <c r="DD66" s="10"/>
      <c r="DE66" s="10"/>
      <c r="DI66" s="10"/>
      <c r="DJ66" s="10"/>
      <c r="DK66" s="10"/>
      <c r="DL66" s="10"/>
      <c r="DP66" s="10"/>
      <c r="DQ66" s="10"/>
      <c r="DR66" s="10"/>
      <c r="DS66" s="10"/>
      <c r="DW66" s="10"/>
      <c r="DX66" s="10"/>
      <c r="DY66" s="10"/>
      <c r="DZ66" s="10"/>
      <c r="ED66" s="10"/>
      <c r="EE66" s="10"/>
      <c r="EF66" s="10"/>
      <c r="EG66" s="10"/>
      <c r="EK66" s="10"/>
      <c r="EL66" s="10"/>
      <c r="EM66" s="10"/>
      <c r="EN66" s="10"/>
    </row>
    <row r="67" spans="2:144" collapsed="1" x14ac:dyDescent="0.2"/>
    <row r="68" spans="2:144" x14ac:dyDescent="0.2">
      <c r="B68" t="s">
        <v>28</v>
      </c>
      <c r="C68" t="s">
        <v>115</v>
      </c>
      <c r="D68" s="19">
        <v>44988</v>
      </c>
      <c r="E68" s="9">
        <v>5</v>
      </c>
      <c r="G68" s="10">
        <f>+SUM(G69:G78)</f>
        <v>0</v>
      </c>
      <c r="I68" s="12">
        <f>+SUM(I69:I78)</f>
        <v>0</v>
      </c>
      <c r="J68" s="11">
        <f>+SUMPRODUCT(G69:G78,J69:J78)</f>
        <v>0</v>
      </c>
      <c r="K68" s="11">
        <f>+SUMPRODUCT(G69:G78,K69:K78)</f>
        <v>0</v>
      </c>
      <c r="L68" s="9"/>
      <c r="N68" s="12">
        <f>+SUM(N69:N78)</f>
        <v>0</v>
      </c>
      <c r="U68" s="12">
        <f>+SUM(U69:U78)</f>
        <v>0</v>
      </c>
      <c r="AB68" s="12">
        <f>+SUM(AB69:AB78)</f>
        <v>0</v>
      </c>
      <c r="AI68" s="12">
        <f>+SUM(AI69:AI78)</f>
        <v>0</v>
      </c>
      <c r="AP68" s="12">
        <f>+SUM(AP69:AP78)</f>
        <v>0</v>
      </c>
    </row>
    <row r="69" spans="2:144" hidden="1" outlineLevel="1" x14ac:dyDescent="0.2">
      <c r="B69" t="s">
        <v>29</v>
      </c>
      <c r="C69" t="s">
        <v>108</v>
      </c>
      <c r="E69" s="9"/>
      <c r="F69" t="s">
        <v>31</v>
      </c>
      <c r="G69" s="10"/>
      <c r="I69" s="9">
        <f t="shared" ref="I69:I78" si="5">+SUMIF($N$3:$ZZ$3,I$3,$N69:$ZZ69)</f>
        <v>0</v>
      </c>
      <c r="J69" s="11" cm="1">
        <f t="array" ref="J69">MAX(IF($N$3:$EH$3=$J$3,N69:EH69))</f>
        <v>0</v>
      </c>
      <c r="K69" s="11" cm="1">
        <f t="array" ref="K69">MAX(IF($N$3:$EH$3=$J$3,N69:EH69))</f>
        <v>0</v>
      </c>
      <c r="L69" s="9"/>
      <c r="O69" s="10"/>
      <c r="P69" s="10">
        <v>0.5</v>
      </c>
      <c r="Q69" s="10"/>
      <c r="R69" s="10">
        <v>0.5</v>
      </c>
      <c r="V69" s="10"/>
      <c r="W69" s="10">
        <v>0.8</v>
      </c>
      <c r="X69" s="10"/>
      <c r="Y69" s="10">
        <v>0.8</v>
      </c>
      <c r="AC69" s="10"/>
      <c r="AD69" s="10">
        <v>0.8</v>
      </c>
      <c r="AE69" s="10"/>
      <c r="AF69" s="10">
        <v>0.8</v>
      </c>
      <c r="AJ69" s="10"/>
      <c r="AK69" s="10">
        <v>1</v>
      </c>
      <c r="AL69" s="10"/>
      <c r="AM69" s="10">
        <v>1</v>
      </c>
      <c r="AQ69" s="10"/>
      <c r="AR69" s="10">
        <v>1</v>
      </c>
      <c r="AS69" s="10"/>
      <c r="AT69" s="10">
        <v>1</v>
      </c>
      <c r="AX69" s="10"/>
      <c r="AY69" s="10"/>
      <c r="AZ69" s="10"/>
      <c r="BA69" s="10"/>
      <c r="BE69" s="10"/>
      <c r="BF69" s="10"/>
      <c r="BG69" s="10"/>
      <c r="BH69" s="10"/>
      <c r="BL69" s="10"/>
      <c r="BM69" s="10"/>
      <c r="BN69" s="10"/>
      <c r="BO69" s="10">
        <v>1</v>
      </c>
      <c r="BS69" s="10"/>
      <c r="BT69" s="10">
        <v>1</v>
      </c>
      <c r="BU69" s="10"/>
      <c r="BV69" s="10">
        <v>1</v>
      </c>
      <c r="BZ69" s="10"/>
      <c r="CA69" s="10">
        <v>1</v>
      </c>
      <c r="CB69" s="10"/>
      <c r="CC69" s="10">
        <v>1</v>
      </c>
      <c r="CG69" s="10"/>
      <c r="CH69" s="10">
        <v>1</v>
      </c>
      <c r="CI69" s="10"/>
      <c r="CJ69" s="10">
        <v>1</v>
      </c>
      <c r="CN69" s="10"/>
      <c r="CO69" s="10"/>
      <c r="CP69" s="10"/>
      <c r="CQ69" s="10"/>
      <c r="CU69" s="10"/>
      <c r="CV69" s="10"/>
      <c r="CW69" s="10"/>
      <c r="CX69" s="10"/>
      <c r="DB69" s="10"/>
      <c r="DC69" s="10"/>
      <c r="DD69" s="10"/>
      <c r="DE69" s="10"/>
    </row>
    <row r="70" spans="2:144" hidden="1" outlineLevel="1" x14ac:dyDescent="0.2">
      <c r="B70" t="s">
        <v>29</v>
      </c>
      <c r="C70" t="s">
        <v>108</v>
      </c>
      <c r="E70" s="9"/>
      <c r="F70" t="s">
        <v>34</v>
      </c>
      <c r="G70" s="10"/>
      <c r="I70" s="9">
        <f t="shared" si="5"/>
        <v>0</v>
      </c>
      <c r="J70" s="11" cm="1">
        <f t="array" ref="J70">MAX(IF($N$3:$EH$3=$J$3,N70:EH70))</f>
        <v>0</v>
      </c>
      <c r="K70" s="11" cm="1">
        <f t="array" ref="K70">MAX(IF($N$3:$EH$3=$J$3,N70:EH70))</f>
        <v>0</v>
      </c>
      <c r="L70" s="9"/>
      <c r="O70" s="10"/>
      <c r="P70" s="10">
        <v>0.5</v>
      </c>
      <c r="Q70" s="10"/>
      <c r="R70" s="10">
        <v>0.5</v>
      </c>
      <c r="V70" s="10"/>
      <c r="W70" s="10">
        <v>0.8</v>
      </c>
      <c r="X70" s="10"/>
      <c r="Y70" s="10">
        <v>0.8</v>
      </c>
      <c r="AC70" s="10"/>
      <c r="AD70" s="10">
        <v>0.8</v>
      </c>
      <c r="AE70" s="10"/>
      <c r="AF70" s="10">
        <v>0.8</v>
      </c>
      <c r="AJ70" s="10"/>
      <c r="AK70" s="10">
        <v>1</v>
      </c>
      <c r="AL70" s="10"/>
      <c r="AM70" s="10">
        <v>1</v>
      </c>
      <c r="AQ70" s="10"/>
      <c r="AR70" s="10">
        <v>1</v>
      </c>
      <c r="AS70" s="10"/>
      <c r="AT70" s="10">
        <v>1</v>
      </c>
      <c r="AX70" s="10"/>
      <c r="AY70" s="10"/>
      <c r="AZ70" s="10"/>
      <c r="BA70" s="10"/>
      <c r="BE70" s="10"/>
      <c r="BF70" s="10"/>
      <c r="BG70" s="10"/>
      <c r="BH70" s="10"/>
      <c r="BL70" s="10"/>
      <c r="BM70" s="10"/>
      <c r="BN70" s="10"/>
      <c r="BO70" s="10">
        <v>1</v>
      </c>
      <c r="BS70" s="10"/>
      <c r="BT70" s="10">
        <v>1</v>
      </c>
      <c r="BU70" s="10"/>
      <c r="BV70" s="10">
        <v>1</v>
      </c>
      <c r="BZ70" s="10"/>
      <c r="CA70" s="10">
        <v>1</v>
      </c>
      <c r="CB70" s="10"/>
      <c r="CC70" s="10">
        <v>1</v>
      </c>
      <c r="CG70" s="10"/>
      <c r="CH70" s="10">
        <v>1</v>
      </c>
      <c r="CI70" s="10"/>
      <c r="CJ70" s="10">
        <v>1</v>
      </c>
      <c r="CN70" s="10"/>
      <c r="CO70" s="10"/>
      <c r="CP70" s="10"/>
      <c r="CQ70" s="10"/>
      <c r="CU70" s="10"/>
      <c r="CV70" s="10"/>
      <c r="CW70" s="10"/>
      <c r="CX70" s="10"/>
      <c r="DB70" s="10"/>
      <c r="DC70" s="10"/>
      <c r="DD70" s="10"/>
      <c r="DE70" s="10"/>
    </row>
    <row r="71" spans="2:144" hidden="1" outlineLevel="1" x14ac:dyDescent="0.2">
      <c r="B71" t="s">
        <v>29</v>
      </c>
      <c r="C71" t="s">
        <v>108</v>
      </c>
      <c r="E71" s="9"/>
      <c r="F71" t="s">
        <v>35</v>
      </c>
      <c r="G71" s="10"/>
      <c r="I71" s="9">
        <f t="shared" si="5"/>
        <v>0</v>
      </c>
      <c r="J71" s="11" cm="1">
        <f t="array" ref="J71">MAX(IF($N$3:$EH$3=$J$3,N71:EH71))</f>
        <v>0</v>
      </c>
      <c r="K71" s="11" cm="1">
        <f t="array" ref="K71">MAX(IF($N$3:$EH$3=$J$3,N71:EH71))</f>
        <v>0</v>
      </c>
      <c r="L71" s="9"/>
      <c r="O71" s="10"/>
      <c r="P71" s="10">
        <v>0.5</v>
      </c>
      <c r="Q71" s="10"/>
      <c r="R71" s="10">
        <v>0.5</v>
      </c>
      <c r="V71" s="10"/>
      <c r="W71" s="10">
        <v>0.5</v>
      </c>
      <c r="X71" s="10"/>
      <c r="Y71" s="10">
        <v>0.5</v>
      </c>
      <c r="AC71" s="10"/>
      <c r="AD71" s="10">
        <v>0.8</v>
      </c>
      <c r="AE71" s="10"/>
      <c r="AF71" s="10">
        <v>0.8</v>
      </c>
      <c r="AJ71" s="10"/>
      <c r="AK71" s="10">
        <v>0.8</v>
      </c>
      <c r="AL71" s="10"/>
      <c r="AM71" s="10">
        <v>0.8</v>
      </c>
      <c r="AQ71" s="10"/>
      <c r="AR71" s="10">
        <v>1</v>
      </c>
      <c r="AS71" s="10"/>
      <c r="AT71" s="10">
        <v>1</v>
      </c>
      <c r="AX71" s="10"/>
      <c r="AY71" s="10"/>
      <c r="AZ71" s="10"/>
      <c r="BA71" s="10"/>
      <c r="BE71" s="10"/>
      <c r="BF71" s="10"/>
      <c r="BG71" s="10"/>
      <c r="BH71" s="10"/>
      <c r="BL71" s="10"/>
      <c r="BM71" s="10"/>
      <c r="BN71" s="10"/>
      <c r="BO71" s="10">
        <v>0.8</v>
      </c>
      <c r="BS71" s="10"/>
      <c r="BT71" s="10">
        <v>1</v>
      </c>
      <c r="BU71" s="10"/>
      <c r="BV71" s="10">
        <v>1</v>
      </c>
      <c r="BZ71" s="10"/>
      <c r="CA71" s="10">
        <v>1</v>
      </c>
      <c r="CB71" s="10"/>
      <c r="CC71" s="10">
        <v>1</v>
      </c>
      <c r="CG71" s="10"/>
      <c r="CH71" s="10">
        <v>1</v>
      </c>
      <c r="CI71" s="10"/>
      <c r="CJ71" s="10">
        <v>1</v>
      </c>
      <c r="CN71" s="10"/>
      <c r="CO71" s="10"/>
      <c r="CP71" s="10"/>
      <c r="CQ71" s="10"/>
      <c r="CU71" s="10"/>
      <c r="CV71" s="10"/>
      <c r="CW71" s="10"/>
      <c r="CX71" s="10"/>
      <c r="DB71" s="10"/>
      <c r="DC71" s="10"/>
      <c r="DD71" s="10"/>
      <c r="DE71" s="10"/>
    </row>
    <row r="72" spans="2:144" hidden="1" outlineLevel="1" x14ac:dyDescent="0.2">
      <c r="B72" t="s">
        <v>29</v>
      </c>
      <c r="C72" t="s">
        <v>108</v>
      </c>
      <c r="E72" s="9"/>
      <c r="F72" t="s">
        <v>36</v>
      </c>
      <c r="G72" s="10"/>
      <c r="I72" s="9">
        <f t="shared" si="5"/>
        <v>0</v>
      </c>
      <c r="J72" s="11" cm="1">
        <f t="array" ref="J72">MAX(IF($N$3:$EH$3=$J$3,N72:EH72))</f>
        <v>0</v>
      </c>
      <c r="K72" s="11" cm="1">
        <f t="array" ref="K72">MAX(IF($N$3:$EH$3=$J$3,N72:EH72))</f>
        <v>0</v>
      </c>
      <c r="L72" s="9"/>
      <c r="O72" s="10"/>
      <c r="P72" s="10">
        <v>0.5</v>
      </c>
      <c r="Q72" s="10"/>
      <c r="R72" s="10">
        <v>0.5</v>
      </c>
      <c r="V72" s="10"/>
      <c r="W72" s="10">
        <v>0.5</v>
      </c>
      <c r="X72" s="10"/>
      <c r="Y72" s="10">
        <v>0.5</v>
      </c>
      <c r="AC72" s="10"/>
      <c r="AD72" s="10">
        <v>0.8</v>
      </c>
      <c r="AE72" s="10"/>
      <c r="AF72" s="10">
        <v>0.8</v>
      </c>
      <c r="AJ72" s="10"/>
      <c r="AK72" s="10">
        <v>0.8</v>
      </c>
      <c r="AL72" s="10"/>
      <c r="AM72" s="10">
        <v>0.8</v>
      </c>
      <c r="AQ72" s="10"/>
      <c r="AR72" s="10">
        <v>1</v>
      </c>
      <c r="AS72" s="10"/>
      <c r="AT72" s="10">
        <v>1</v>
      </c>
      <c r="AX72" s="10"/>
      <c r="AY72" s="10"/>
      <c r="AZ72" s="10"/>
      <c r="BA72" s="10"/>
      <c r="BE72" s="10"/>
      <c r="BF72" s="10"/>
      <c r="BG72" s="10"/>
      <c r="BH72" s="10"/>
      <c r="BL72" s="10"/>
      <c r="BM72" s="10"/>
      <c r="BN72" s="10"/>
      <c r="BO72" s="10">
        <v>0.8</v>
      </c>
      <c r="BS72" s="10"/>
      <c r="BT72" s="10">
        <v>0.8</v>
      </c>
      <c r="BU72" s="10"/>
      <c r="BV72" s="10">
        <v>0.8</v>
      </c>
      <c r="BZ72" s="10"/>
      <c r="CA72" s="10">
        <v>1</v>
      </c>
      <c r="CB72" s="10"/>
      <c r="CC72" s="10">
        <v>1</v>
      </c>
      <c r="CG72" s="10"/>
      <c r="CH72" s="10">
        <v>1</v>
      </c>
      <c r="CI72" s="10"/>
      <c r="CJ72" s="10">
        <v>1</v>
      </c>
      <c r="CN72" s="10"/>
      <c r="CO72" s="10"/>
      <c r="CP72" s="10"/>
      <c r="CQ72" s="10"/>
      <c r="CU72" s="10"/>
      <c r="CV72" s="10"/>
      <c r="CW72" s="10"/>
      <c r="CX72" s="10"/>
      <c r="DB72" s="10"/>
      <c r="DC72" s="10"/>
      <c r="DD72" s="10"/>
      <c r="DE72" s="10"/>
    </row>
    <row r="73" spans="2:144" hidden="1" outlineLevel="1" x14ac:dyDescent="0.2">
      <c r="B73" t="s">
        <v>29</v>
      </c>
      <c r="C73" t="s">
        <v>108</v>
      </c>
      <c r="E73" s="9"/>
      <c r="F73" t="s">
        <v>37</v>
      </c>
      <c r="G73" s="10"/>
      <c r="I73" s="9">
        <f t="shared" si="5"/>
        <v>0</v>
      </c>
      <c r="J73" s="11" cm="1">
        <f t="array" ref="J73">MAX(IF($N$3:$EH$3=$J$3,N73:EH73))</f>
        <v>0</v>
      </c>
      <c r="K73" s="11" cm="1">
        <f t="array" ref="K73">MAX(IF($N$3:$EH$3=$J$3,N73:EH73))</f>
        <v>0</v>
      </c>
      <c r="L73" s="9"/>
      <c r="O73" s="10"/>
      <c r="P73" s="10"/>
      <c r="Q73" s="10"/>
      <c r="R73" s="10"/>
      <c r="V73" s="10"/>
      <c r="W73" s="10">
        <v>0.5</v>
      </c>
      <c r="X73" s="10"/>
      <c r="Y73" s="10">
        <v>0.5</v>
      </c>
      <c r="AC73" s="10"/>
      <c r="AD73" s="10">
        <v>0.5</v>
      </c>
      <c r="AE73" s="10"/>
      <c r="AF73" s="10">
        <v>0.5</v>
      </c>
      <c r="AJ73" s="10"/>
      <c r="AK73" s="10">
        <v>0.5</v>
      </c>
      <c r="AL73" s="10"/>
      <c r="AM73" s="10">
        <v>0.5</v>
      </c>
      <c r="AQ73" s="10"/>
      <c r="AR73" s="10">
        <v>1</v>
      </c>
      <c r="AS73" s="10"/>
      <c r="AT73" s="10">
        <v>1</v>
      </c>
      <c r="AX73" s="10"/>
      <c r="AY73" s="10"/>
      <c r="AZ73" s="10"/>
      <c r="BA73" s="10"/>
      <c r="BE73" s="10"/>
      <c r="BF73" s="10"/>
      <c r="BG73" s="10"/>
      <c r="BH73" s="10"/>
      <c r="BL73" s="10"/>
      <c r="BM73" s="10"/>
      <c r="BN73" s="10"/>
      <c r="BO73" s="10">
        <v>0.8</v>
      </c>
      <c r="BS73" s="10"/>
      <c r="BT73" s="10">
        <v>0.8</v>
      </c>
      <c r="BU73" s="10"/>
      <c r="BV73" s="10">
        <v>0.8</v>
      </c>
      <c r="BZ73" s="10"/>
      <c r="CA73" s="10">
        <v>1</v>
      </c>
      <c r="CB73" s="10"/>
      <c r="CC73" s="10">
        <v>1</v>
      </c>
      <c r="CG73" s="10"/>
      <c r="CH73" s="10">
        <v>1</v>
      </c>
      <c r="CI73" s="10"/>
      <c r="CJ73" s="10">
        <v>1</v>
      </c>
      <c r="CN73" s="10"/>
      <c r="CO73" s="10"/>
      <c r="CP73" s="10"/>
      <c r="CQ73" s="10"/>
      <c r="CU73" s="10"/>
      <c r="CV73" s="10"/>
      <c r="CW73" s="10"/>
      <c r="CX73" s="10"/>
      <c r="DB73" s="10"/>
      <c r="DC73" s="10"/>
      <c r="DD73" s="10"/>
      <c r="DE73" s="10"/>
    </row>
    <row r="74" spans="2:144" hidden="1" outlineLevel="1" x14ac:dyDescent="0.2">
      <c r="B74" t="s">
        <v>29</v>
      </c>
      <c r="C74" t="s">
        <v>108</v>
      </c>
      <c r="E74" s="9"/>
      <c r="F74" t="s">
        <v>38</v>
      </c>
      <c r="G74" s="10"/>
      <c r="I74" s="9">
        <f t="shared" si="5"/>
        <v>0</v>
      </c>
      <c r="J74" s="11" cm="1">
        <f t="array" ref="J74">MAX(IF($N$3:$EH$3=$J$3,N74:EH74))</f>
        <v>0</v>
      </c>
      <c r="K74" s="11" cm="1">
        <f t="array" ref="K74">MAX(IF($N$3:$EH$3=$J$3,N74:EH74))</f>
        <v>0</v>
      </c>
      <c r="L74" s="9"/>
      <c r="O74" s="10"/>
      <c r="P74" s="10"/>
      <c r="Q74" s="10"/>
      <c r="R74" s="10"/>
      <c r="V74" s="10"/>
      <c r="W74" s="10">
        <v>0.5</v>
      </c>
      <c r="X74" s="10"/>
      <c r="Y74" s="10">
        <v>0.5</v>
      </c>
      <c r="AC74" s="10"/>
      <c r="AD74" s="10">
        <v>0.5</v>
      </c>
      <c r="AE74" s="10"/>
      <c r="AF74" s="10">
        <v>0.5</v>
      </c>
      <c r="AJ74" s="10"/>
      <c r="AK74" s="10">
        <v>0.5</v>
      </c>
      <c r="AL74" s="10"/>
      <c r="AM74" s="10">
        <v>0.5</v>
      </c>
      <c r="AQ74" s="10"/>
      <c r="AR74" s="10">
        <v>1</v>
      </c>
      <c r="AS74" s="10"/>
      <c r="AT74" s="10">
        <v>1</v>
      </c>
      <c r="AX74" s="10"/>
      <c r="AY74" s="10"/>
      <c r="AZ74" s="10"/>
      <c r="BA74" s="10"/>
      <c r="BE74" s="10"/>
      <c r="BF74" s="10"/>
      <c r="BG74" s="10"/>
      <c r="BH74" s="10"/>
      <c r="BL74" s="10"/>
      <c r="BM74" s="10"/>
      <c r="BN74" s="10"/>
      <c r="BO74" s="10">
        <v>0.8</v>
      </c>
      <c r="BS74" s="10"/>
      <c r="BT74" s="10">
        <v>0.8</v>
      </c>
      <c r="BU74" s="10"/>
      <c r="BV74" s="10">
        <v>0.8</v>
      </c>
      <c r="BZ74" s="10"/>
      <c r="CA74" s="10">
        <v>1</v>
      </c>
      <c r="CB74" s="10"/>
      <c r="CC74" s="10">
        <v>1</v>
      </c>
      <c r="CG74" s="10"/>
      <c r="CH74" s="10">
        <v>1</v>
      </c>
      <c r="CI74" s="10"/>
      <c r="CJ74" s="10">
        <v>1</v>
      </c>
      <c r="CN74" s="10"/>
      <c r="CO74" s="10"/>
      <c r="CP74" s="10"/>
      <c r="CQ74" s="10"/>
      <c r="CU74" s="10"/>
      <c r="CV74" s="10"/>
      <c r="CW74" s="10"/>
      <c r="CX74" s="10"/>
      <c r="DB74" s="10"/>
      <c r="DC74" s="10"/>
      <c r="DD74" s="10"/>
      <c r="DE74" s="10"/>
    </row>
    <row r="75" spans="2:144" hidden="1" outlineLevel="1" x14ac:dyDescent="0.2">
      <c r="B75" t="s">
        <v>29</v>
      </c>
      <c r="C75" t="s">
        <v>108</v>
      </c>
      <c r="E75" s="9"/>
      <c r="F75" t="s">
        <v>39</v>
      </c>
      <c r="G75" s="10"/>
      <c r="I75" s="9">
        <f t="shared" si="5"/>
        <v>0</v>
      </c>
      <c r="J75" s="11" cm="1">
        <f t="array" ref="J75">MAX(IF($N$3:$EH$3=$J$3,N75:EH75))</f>
        <v>0</v>
      </c>
      <c r="K75" s="11" cm="1">
        <f t="array" ref="K75">MAX(IF($N$3:$EH$3=$J$3,N75:EH75))</f>
        <v>0</v>
      </c>
      <c r="L75" s="9"/>
      <c r="O75" s="10"/>
      <c r="P75" s="10"/>
      <c r="Q75" s="10"/>
      <c r="R75" s="10"/>
      <c r="V75" s="10"/>
      <c r="W75" s="10"/>
      <c r="X75" s="10"/>
      <c r="Y75" s="10"/>
      <c r="AC75" s="10"/>
      <c r="AD75" s="10">
        <v>0.5</v>
      </c>
      <c r="AE75" s="10"/>
      <c r="AF75" s="10">
        <v>0.5</v>
      </c>
      <c r="AJ75" s="10"/>
      <c r="AK75" s="10">
        <v>0.5</v>
      </c>
      <c r="AL75" s="10"/>
      <c r="AM75" s="10">
        <v>0.5</v>
      </c>
      <c r="AQ75" s="10"/>
      <c r="AR75" s="10">
        <v>1</v>
      </c>
      <c r="AS75" s="10"/>
      <c r="AT75" s="10">
        <v>1</v>
      </c>
      <c r="AX75" s="10"/>
      <c r="AY75" s="10"/>
      <c r="AZ75" s="10"/>
      <c r="BA75" s="10"/>
      <c r="BE75" s="10"/>
      <c r="BF75" s="10"/>
      <c r="BG75" s="10"/>
      <c r="BH75" s="10"/>
      <c r="BL75" s="10"/>
      <c r="BM75" s="10"/>
      <c r="BN75" s="10"/>
      <c r="BO75" s="10">
        <v>0.8</v>
      </c>
      <c r="BS75" s="10"/>
      <c r="BT75" s="10">
        <v>0.8</v>
      </c>
      <c r="BU75" s="10"/>
      <c r="BV75" s="10">
        <v>0.8</v>
      </c>
      <c r="BZ75" s="10"/>
      <c r="CA75" s="10">
        <v>0.8</v>
      </c>
      <c r="CB75" s="10"/>
      <c r="CC75" s="10">
        <v>0.8</v>
      </c>
      <c r="CG75" s="10"/>
      <c r="CH75" s="10">
        <v>1</v>
      </c>
      <c r="CI75" s="10"/>
      <c r="CJ75" s="10">
        <v>1</v>
      </c>
      <c r="CN75" s="10"/>
      <c r="CO75" s="10"/>
      <c r="CP75" s="10"/>
      <c r="CQ75" s="10"/>
      <c r="CU75" s="10"/>
      <c r="CV75" s="10"/>
      <c r="CW75" s="10"/>
      <c r="CX75" s="10"/>
      <c r="DB75" s="10"/>
      <c r="DC75" s="10"/>
      <c r="DD75" s="10"/>
      <c r="DE75" s="10"/>
    </row>
    <row r="76" spans="2:144" hidden="1" outlineLevel="1" x14ac:dyDescent="0.2">
      <c r="B76" t="s">
        <v>29</v>
      </c>
      <c r="C76" t="s">
        <v>108</v>
      </c>
      <c r="E76" s="9"/>
      <c r="F76" t="s">
        <v>40</v>
      </c>
      <c r="G76" s="10"/>
      <c r="I76" s="9">
        <f t="shared" si="5"/>
        <v>0</v>
      </c>
      <c r="J76" s="11" cm="1">
        <f t="array" ref="J76">MAX(IF($N$3:$EH$3=$J$3,N76:EH76))</f>
        <v>0</v>
      </c>
      <c r="K76" s="11" cm="1">
        <f t="array" ref="K76">MAX(IF($N$3:$EH$3=$J$3,N76:EH76))</f>
        <v>0</v>
      </c>
      <c r="L76" s="9"/>
      <c r="O76" s="10"/>
      <c r="P76" s="10"/>
      <c r="Q76" s="10"/>
      <c r="R76" s="10"/>
      <c r="V76" s="10"/>
      <c r="W76" s="10"/>
      <c r="X76" s="10"/>
      <c r="Y76" s="10"/>
      <c r="AC76" s="10"/>
      <c r="AD76" s="10">
        <v>0.5</v>
      </c>
      <c r="AE76" s="10"/>
      <c r="AF76" s="10">
        <v>0.5</v>
      </c>
      <c r="AJ76" s="10"/>
      <c r="AK76" s="10">
        <v>0.5</v>
      </c>
      <c r="AL76" s="10"/>
      <c r="AM76" s="10">
        <v>0.5</v>
      </c>
      <c r="AQ76" s="10"/>
      <c r="AR76" s="10">
        <v>1</v>
      </c>
      <c r="AS76" s="10"/>
      <c r="AT76" s="10">
        <v>1</v>
      </c>
      <c r="AX76" s="10"/>
      <c r="AY76" s="10"/>
      <c r="AZ76" s="10"/>
      <c r="BA76" s="10"/>
      <c r="BE76" s="10"/>
      <c r="BF76" s="10"/>
      <c r="BG76" s="10"/>
      <c r="BH76" s="10"/>
      <c r="BL76" s="10"/>
      <c r="BM76" s="10"/>
      <c r="BN76" s="10"/>
      <c r="BO76" s="10">
        <v>0.8</v>
      </c>
      <c r="BS76" s="10"/>
      <c r="BT76" s="10">
        <v>0.8</v>
      </c>
      <c r="BU76" s="10"/>
      <c r="BV76" s="10">
        <v>0.8</v>
      </c>
      <c r="BZ76" s="10"/>
      <c r="CA76" s="10">
        <v>0.8</v>
      </c>
      <c r="CB76" s="10"/>
      <c r="CC76" s="10">
        <v>0.8</v>
      </c>
      <c r="CG76" s="10"/>
      <c r="CH76" s="10">
        <v>1</v>
      </c>
      <c r="CI76" s="10"/>
      <c r="CJ76" s="10">
        <v>1</v>
      </c>
      <c r="CN76" s="10"/>
      <c r="CO76" s="10"/>
      <c r="CP76" s="10"/>
      <c r="CQ76" s="10"/>
      <c r="CU76" s="10"/>
      <c r="CV76" s="10"/>
      <c r="CW76" s="10"/>
      <c r="CX76" s="10"/>
      <c r="DB76" s="10"/>
      <c r="DC76" s="10"/>
      <c r="DD76" s="10"/>
      <c r="DE76" s="10"/>
    </row>
    <row r="77" spans="2:144" hidden="1" outlineLevel="1" x14ac:dyDescent="0.2">
      <c r="B77" t="s">
        <v>29</v>
      </c>
      <c r="C77" t="s">
        <v>108</v>
      </c>
      <c r="E77" s="9"/>
      <c r="F77" t="s">
        <v>41</v>
      </c>
      <c r="G77" s="10"/>
      <c r="I77" s="9">
        <f t="shared" si="5"/>
        <v>0</v>
      </c>
      <c r="J77" s="11" cm="1">
        <f t="array" ref="J77">MAX(IF($N$3:$EH$3=$J$3,N77:EH77))</f>
        <v>0</v>
      </c>
      <c r="K77" s="11" cm="1">
        <f t="array" ref="K77">MAX(IF($N$3:$EH$3=$J$3,N77:EH77))</f>
        <v>0</v>
      </c>
      <c r="L77" s="9"/>
      <c r="O77" s="10"/>
      <c r="P77" s="10"/>
      <c r="Q77" s="10"/>
      <c r="R77" s="10"/>
      <c r="V77" s="10"/>
      <c r="W77" s="10"/>
      <c r="X77" s="10"/>
      <c r="Y77" s="10"/>
      <c r="AC77" s="10"/>
      <c r="AD77" s="10"/>
      <c r="AE77" s="10"/>
      <c r="AF77" s="10"/>
      <c r="AJ77" s="10"/>
      <c r="AK77" s="10">
        <v>0.5</v>
      </c>
      <c r="AL77" s="10"/>
      <c r="AM77" s="10">
        <v>0.5</v>
      </c>
      <c r="AQ77" s="10"/>
      <c r="AR77" s="10">
        <v>1</v>
      </c>
      <c r="AS77" s="10"/>
      <c r="AT77" s="10">
        <v>1</v>
      </c>
      <c r="AX77" s="10"/>
      <c r="AY77" s="10"/>
      <c r="AZ77" s="10"/>
      <c r="BA77" s="10"/>
      <c r="BE77" s="10"/>
      <c r="BF77" s="10"/>
      <c r="BG77" s="10"/>
      <c r="BH77" s="10"/>
      <c r="BL77" s="10"/>
      <c r="BM77" s="10"/>
      <c r="BN77" s="10"/>
      <c r="BO77" s="10">
        <v>0.8</v>
      </c>
      <c r="BS77" s="10"/>
      <c r="BT77" s="10">
        <v>0.8</v>
      </c>
      <c r="BU77" s="10"/>
      <c r="BV77" s="10">
        <v>0.8</v>
      </c>
      <c r="BZ77" s="10"/>
      <c r="CA77" s="10">
        <v>0.8</v>
      </c>
      <c r="CB77" s="10"/>
      <c r="CC77" s="10">
        <v>0.8</v>
      </c>
      <c r="CG77" s="10"/>
      <c r="CH77" s="10">
        <v>1</v>
      </c>
      <c r="CI77" s="10"/>
      <c r="CJ77" s="10">
        <v>1</v>
      </c>
      <c r="CN77" s="10"/>
      <c r="CO77" s="10"/>
      <c r="CP77" s="10"/>
      <c r="CQ77" s="10"/>
      <c r="CU77" s="10"/>
      <c r="CV77" s="10"/>
      <c r="CW77" s="10"/>
      <c r="CX77" s="10"/>
      <c r="DB77" s="10"/>
      <c r="DC77" s="10"/>
      <c r="DD77" s="10"/>
      <c r="DE77" s="10"/>
    </row>
    <row r="78" spans="2:144" hidden="1" outlineLevel="1" x14ac:dyDescent="0.2">
      <c r="B78" t="s">
        <v>29</v>
      </c>
      <c r="C78" t="s">
        <v>108</v>
      </c>
      <c r="E78" s="9"/>
      <c r="F78" t="s">
        <v>42</v>
      </c>
      <c r="G78" s="10"/>
      <c r="I78" s="9">
        <f t="shared" si="5"/>
        <v>0</v>
      </c>
      <c r="J78" s="11" cm="1">
        <f t="array" ref="J78">MAX(IF($N$3:$EH$3=$J$3,N78:EH78))</f>
        <v>0</v>
      </c>
      <c r="K78" s="11" cm="1">
        <f t="array" ref="K78">MAX(IF($N$3:$EH$3=$J$3,N78:EH78))</f>
        <v>0</v>
      </c>
      <c r="L78" s="9"/>
      <c r="O78" s="10"/>
      <c r="P78" s="10"/>
      <c r="Q78" s="10"/>
      <c r="R78" s="10"/>
      <c r="V78" s="10"/>
      <c r="W78" s="10"/>
      <c r="X78" s="10"/>
      <c r="Y78" s="10"/>
      <c r="AC78" s="10"/>
      <c r="AD78" s="10"/>
      <c r="AE78" s="10"/>
      <c r="AF78" s="10"/>
      <c r="AJ78" s="10"/>
      <c r="AK78" s="10">
        <v>0.5</v>
      </c>
      <c r="AL78" s="10"/>
      <c r="AM78" s="10">
        <v>0.5</v>
      </c>
      <c r="AQ78" s="10"/>
      <c r="AR78" s="10">
        <v>1</v>
      </c>
      <c r="AS78" s="10"/>
      <c r="AT78" s="10">
        <v>1</v>
      </c>
      <c r="AX78" s="10"/>
      <c r="AY78" s="10"/>
      <c r="AZ78" s="10"/>
      <c r="BA78" s="10"/>
      <c r="BE78" s="10"/>
      <c r="BF78" s="10"/>
      <c r="BG78" s="10"/>
      <c r="BH78" s="10"/>
      <c r="BL78" s="10"/>
      <c r="BM78" s="10"/>
      <c r="BN78" s="10"/>
      <c r="BO78" s="10">
        <v>0.5</v>
      </c>
      <c r="BS78" s="10"/>
      <c r="BT78" s="10">
        <v>0.8</v>
      </c>
      <c r="BU78" s="10"/>
      <c r="BV78" s="10">
        <v>0.8</v>
      </c>
      <c r="BZ78" s="10"/>
      <c r="CA78" s="10">
        <v>0.8</v>
      </c>
      <c r="CB78" s="10"/>
      <c r="CC78" s="10">
        <v>0.8</v>
      </c>
      <c r="CG78" s="10"/>
      <c r="CH78" s="10">
        <v>1</v>
      </c>
      <c r="CI78" s="10"/>
      <c r="CJ78" s="10">
        <v>1</v>
      </c>
      <c r="CN78" s="10"/>
      <c r="CO78" s="10"/>
      <c r="CP78" s="10"/>
      <c r="CQ78" s="10"/>
      <c r="CU78" s="10"/>
      <c r="CV78" s="10"/>
      <c r="CW78" s="10"/>
      <c r="CX78" s="10"/>
      <c r="DB78" s="10"/>
      <c r="DC78" s="10"/>
      <c r="DD78" s="10"/>
      <c r="DE78" s="10"/>
    </row>
    <row r="79" spans="2:144" collapsed="1" x14ac:dyDescent="0.2"/>
    <row r="83" spans="6:6" x14ac:dyDescent="0.2">
      <c r="F83" t="s">
        <v>116</v>
      </c>
    </row>
    <row r="84" spans="6:6" x14ac:dyDescent="0.2">
      <c r="F84" t="s">
        <v>117</v>
      </c>
    </row>
    <row r="85" spans="6:6" x14ac:dyDescent="0.2">
      <c r="F85" t="s">
        <v>118</v>
      </c>
    </row>
    <row r="86" spans="6:6" x14ac:dyDescent="0.2">
      <c r="F86" t="s">
        <v>119</v>
      </c>
    </row>
    <row r="88" spans="6:6" x14ac:dyDescent="0.2">
      <c r="F88" t="s">
        <v>133</v>
      </c>
    </row>
  </sheetData>
  <mergeCells count="20">
    <mergeCell ref="DO2:DT2"/>
    <mergeCell ref="DV2:EA2"/>
    <mergeCell ref="EC2:EH2"/>
    <mergeCell ref="EJ2:EO2"/>
    <mergeCell ref="I2:L2"/>
    <mergeCell ref="N2:S2"/>
    <mergeCell ref="BD2:BI2"/>
    <mergeCell ref="U2:Z2"/>
    <mergeCell ref="AB2:AG2"/>
    <mergeCell ref="AI2:AN2"/>
    <mergeCell ref="AP2:AU2"/>
    <mergeCell ref="AW2:BB2"/>
    <mergeCell ref="DH2:DM2"/>
    <mergeCell ref="CT2:CY2"/>
    <mergeCell ref="DA2:DF2"/>
    <mergeCell ref="BK2:BP2"/>
    <mergeCell ref="BR2:BW2"/>
    <mergeCell ref="BY2:CD2"/>
    <mergeCell ref="CF2:CK2"/>
    <mergeCell ref="CM2:CR2"/>
  </mergeCells>
  <conditionalFormatting sqref="O13 Q13 O5:O10 Q5:Q10 AQ5:AQ10 AS5:AS10 BE5:BE10 BG5:BG10 V5:V10 X5:X10 AC5:AC10 AE5:AE10 AJ5:AJ10 AL5:AL10 AX5:AX10 AZ5:AZ10 BL5:BL10 BN5:BN10 Q16:Q19 O16:O19 AJ25:AJ33 AL25:AL33 AX25:AX33 AZ25:AZ33 Q25:Q33 O25:O33 BG25:BG33 X25:X33 V25:V33 AE25:AE33 AC25:AC33 AS25:AS33 AQ25:AQ33 BE25:BE33 BN25:BN33 BL25:BL33 AJ38:AJ42 AL38:AL42 AX38:AX42 AZ38:AZ42 Q38:Q42 O38:O42 BG38:BG42 X38:X42 V38:V42 AE38:AE42 AC38:AC42 AS38:AS42 AQ38:AQ42 BE38:BE42 BN38:BN42 BL38:BL42 Q45:Q54 O45:O54 X45:X54 V45:V54 AE45:AE54 AC45:AC54 AJ45:AJ54 AL45:AL54 AS45:AS54 AQ45:AQ54 AX45:AX54 AZ45:AZ54 BG45:BG54 BE45:BE54 BN45:BN54 BL45:BL54 CB5:CB8">
    <cfRule type="expression" dxfId="422" priority="709">
      <formula>OR(IF(O5&lt;P5,TRUE),IF(AND(P5="",O5&lt;&gt;""),TRUE))</formula>
    </cfRule>
    <cfRule type="expression" dxfId="421" priority="710">
      <formula>IF(O5&gt;=P5,IF(O5="",FALSE,TRUE))</formula>
    </cfRule>
  </conditionalFormatting>
  <conditionalFormatting sqref="AQ13 AS13 AS16:AS19 AQ16:AQ19">
    <cfRule type="expression" dxfId="420" priority="576">
      <formula>OR(IF(AQ13&lt;AR13,TRUE),IF(AND(AR13="",AQ13&lt;&gt;""),TRUE))</formula>
    </cfRule>
    <cfRule type="expression" dxfId="419" priority="577">
      <formula>IF(AQ13&gt;=AR13,IF(AQ13="",FALSE,TRUE))</formula>
    </cfRule>
  </conditionalFormatting>
  <conditionalFormatting sqref="O23:O24">
    <cfRule type="expression" dxfId="418" priority="650">
      <formula>OR(IF(O23&lt;P23,TRUE),IF(AND(P23="",O23&lt;&gt;""),TRUE))</formula>
    </cfRule>
    <cfRule type="expression" dxfId="417" priority="651">
      <formula>IF(O23&gt;=P23,IF(O23="",FALSE,TRUE))</formula>
    </cfRule>
  </conditionalFormatting>
  <conditionalFormatting sqref="Q23:Q24">
    <cfRule type="expression" dxfId="416" priority="648">
      <formula>OR(IF(Q23&lt;R23,TRUE),IF(AND(R23="",Q23&lt;&gt;""),TRUE))</formula>
    </cfRule>
    <cfRule type="expression" dxfId="415" priority="649">
      <formula>IF(Q23&gt;=R23,IF(Q23="",FALSE,TRUE))</formula>
    </cfRule>
  </conditionalFormatting>
  <conditionalFormatting sqref="AZ20">
    <cfRule type="expression" dxfId="414" priority="550">
      <formula>OR(IF(AZ20&lt;BA20,TRUE),IF(AND(BA20="",AZ20&lt;&gt;""),TRUE))</formula>
    </cfRule>
    <cfRule type="expression" dxfId="413" priority="551">
      <formula>IF(AZ20&gt;=BA20,IF(AZ20="",FALSE,TRUE))</formula>
    </cfRule>
  </conditionalFormatting>
  <conditionalFormatting sqref="BE13 BG13 BG16:BG19 BE16:BE19">
    <cfRule type="expression" dxfId="412" priority="544">
      <formula>OR(IF(BE13&lt;BF13,TRUE),IF(AND(BF13="",BE13&lt;&gt;""),TRUE))</formula>
    </cfRule>
    <cfRule type="expression" dxfId="411" priority="545">
      <formula>IF(BE13&gt;=BF13,IF(BE13="",FALSE,TRUE))</formula>
    </cfRule>
  </conditionalFormatting>
  <conditionalFormatting sqref="BE23:BE24">
    <cfRule type="expression" dxfId="410" priority="540">
      <formula>OR(IF(BE23&lt;BF23,TRUE),IF(AND(BF23="",BE23&lt;&gt;""),TRUE))</formula>
    </cfRule>
    <cfRule type="expression" dxfId="409" priority="541">
      <formula>IF(BE23&gt;=BF23,IF(BE23="",FALSE,TRUE))</formula>
    </cfRule>
  </conditionalFormatting>
  <conditionalFormatting sqref="O20">
    <cfRule type="expression" dxfId="408" priority="632">
      <formula>OR(IF(O20&lt;P20,TRUE),IF(AND(P20="",O20&lt;&gt;""),TRUE))</formula>
    </cfRule>
    <cfRule type="expression" dxfId="407" priority="633">
      <formula>IF(O20&gt;=P20,IF(O20="",FALSE,TRUE))</formula>
    </cfRule>
  </conditionalFormatting>
  <conditionalFormatting sqref="Q20">
    <cfRule type="expression" dxfId="406" priority="630">
      <formula>OR(IF(Q20&lt;R20,TRUE),IF(AND(R20="",Q20&lt;&gt;""),TRUE))</formula>
    </cfRule>
    <cfRule type="expression" dxfId="405" priority="631">
      <formula>IF(Q20&gt;=R20,IF(Q20="",FALSE,TRUE))</formula>
    </cfRule>
  </conditionalFormatting>
  <conditionalFormatting sqref="V13 X13 X16:X19 V16:V19">
    <cfRule type="expression" dxfId="404" priority="624">
      <formula>OR(IF(V13&lt;W13,TRUE),IF(AND(W13="",V13&lt;&gt;""),TRUE))</formula>
    </cfRule>
    <cfRule type="expression" dxfId="403" priority="625">
      <formula>IF(V13&gt;=W13,IF(V13="",FALSE,TRUE))</formula>
    </cfRule>
  </conditionalFormatting>
  <conditionalFormatting sqref="V23:V24">
    <cfRule type="expression" dxfId="402" priority="620">
      <formula>OR(IF(V23&lt;W23,TRUE),IF(AND(W23="",V23&lt;&gt;""),TRUE))</formula>
    </cfRule>
    <cfRule type="expression" dxfId="401" priority="621">
      <formula>IF(V23&gt;=W23,IF(V23="",FALSE,TRUE))</formula>
    </cfRule>
  </conditionalFormatting>
  <conditionalFormatting sqref="X23:X24">
    <cfRule type="expression" dxfId="400" priority="618">
      <formula>OR(IF(X23&lt;Y23,TRUE),IF(AND(Y23="",X23&lt;&gt;""),TRUE))</formula>
    </cfRule>
    <cfRule type="expression" dxfId="399" priority="619">
      <formula>IF(X23&gt;=Y23,IF(X23="",FALSE,TRUE))</formula>
    </cfRule>
  </conditionalFormatting>
  <conditionalFormatting sqref="V20">
    <cfRule type="expression" dxfId="398" priority="616">
      <formula>OR(IF(V20&lt;W20,TRUE),IF(AND(W20="",V20&lt;&gt;""),TRUE))</formula>
    </cfRule>
    <cfRule type="expression" dxfId="397" priority="617">
      <formula>IF(V20&gt;=W20,IF(V20="",FALSE,TRUE))</formula>
    </cfRule>
  </conditionalFormatting>
  <conditionalFormatting sqref="X20">
    <cfRule type="expression" dxfId="396" priority="614">
      <formula>OR(IF(X20&lt;Y20,TRUE),IF(AND(Y20="",X20&lt;&gt;""),TRUE))</formula>
    </cfRule>
    <cfRule type="expression" dxfId="395" priority="615">
      <formula>IF(X20&gt;=Y20,IF(X20="",FALSE,TRUE))</formula>
    </cfRule>
  </conditionalFormatting>
  <conditionalFormatting sqref="AC13 AE13 AE16:AE19 AC16:AC19">
    <cfRule type="expression" dxfId="394" priority="608">
      <formula>OR(IF(AC13&lt;AD13,TRUE),IF(AND(AD13="",AC13&lt;&gt;""),TRUE))</formula>
    </cfRule>
    <cfRule type="expression" dxfId="393" priority="609">
      <formula>IF(AC13&gt;=AD13,IF(AC13="",FALSE,TRUE))</formula>
    </cfRule>
  </conditionalFormatting>
  <conditionalFormatting sqref="AC23:AC24">
    <cfRule type="expression" dxfId="392" priority="604">
      <formula>OR(IF(AC23&lt;AD23,TRUE),IF(AND(AD23="",AC23&lt;&gt;""),TRUE))</formula>
    </cfRule>
    <cfRule type="expression" dxfId="391" priority="605">
      <formula>IF(AC23&gt;=AD23,IF(AC23="",FALSE,TRUE))</formula>
    </cfRule>
  </conditionalFormatting>
  <conditionalFormatting sqref="AE23:AE24">
    <cfRule type="expression" dxfId="390" priority="602">
      <formula>OR(IF(AE23&lt;AF23,TRUE),IF(AND(AF23="",AE23&lt;&gt;""),TRUE))</formula>
    </cfRule>
    <cfRule type="expression" dxfId="389" priority="603">
      <formula>IF(AE23&gt;=AF23,IF(AE23="",FALSE,TRUE))</formula>
    </cfRule>
  </conditionalFormatting>
  <conditionalFormatting sqref="AC20">
    <cfRule type="expression" dxfId="388" priority="600">
      <formula>OR(IF(AC20&lt;AD20,TRUE),IF(AND(AD20="",AC20&lt;&gt;""),TRUE))</formula>
    </cfRule>
    <cfRule type="expression" dxfId="387" priority="601">
      <formula>IF(AC20&gt;=AD20,IF(AC20="",FALSE,TRUE))</formula>
    </cfRule>
  </conditionalFormatting>
  <conditionalFormatting sqref="AE20">
    <cfRule type="expression" dxfId="386" priority="598">
      <formula>OR(IF(AE20&lt;AF20,TRUE),IF(AND(AF20="",AE20&lt;&gt;""),TRUE))</formula>
    </cfRule>
    <cfRule type="expression" dxfId="385" priority="599">
      <formula>IF(AE20&gt;=AF20,IF(AE20="",FALSE,TRUE))</formula>
    </cfRule>
  </conditionalFormatting>
  <conditionalFormatting sqref="AJ13 AL13 AL16:AL19 AJ16:AJ19">
    <cfRule type="expression" dxfId="384" priority="592">
      <formula>OR(IF(AJ13&lt;AK13,TRUE),IF(AND(AK13="",AJ13&lt;&gt;""),TRUE))</formula>
    </cfRule>
    <cfRule type="expression" dxfId="383" priority="593">
      <formula>IF(AJ13&gt;=AK13,IF(AJ13="",FALSE,TRUE))</formula>
    </cfRule>
  </conditionalFormatting>
  <conditionalFormatting sqref="AJ23:AJ24">
    <cfRule type="expression" dxfId="382" priority="588">
      <formula>OR(IF(AJ23&lt;AK23,TRUE),IF(AND(AK23="",AJ23&lt;&gt;""),TRUE))</formula>
    </cfRule>
    <cfRule type="expression" dxfId="381" priority="589">
      <formula>IF(AJ23&gt;=AK23,IF(AJ23="",FALSE,TRUE))</formula>
    </cfRule>
  </conditionalFormatting>
  <conditionalFormatting sqref="AL23:AL24">
    <cfRule type="expression" dxfId="380" priority="586">
      <formula>OR(IF(AL23&lt;AM23,TRUE),IF(AND(AM23="",AL23&lt;&gt;""),TRUE))</formula>
    </cfRule>
    <cfRule type="expression" dxfId="379" priority="587">
      <formula>IF(AL23&gt;=AM23,IF(AL23="",FALSE,TRUE))</formula>
    </cfRule>
  </conditionalFormatting>
  <conditionalFormatting sqref="AJ20">
    <cfRule type="expression" dxfId="378" priority="584">
      <formula>OR(IF(AJ20&lt;AK20,TRUE),IF(AND(AK20="",AJ20&lt;&gt;""),TRUE))</formula>
    </cfRule>
    <cfRule type="expression" dxfId="377" priority="585">
      <formula>IF(AJ20&gt;=AK20,IF(AJ20="",FALSE,TRUE))</formula>
    </cfRule>
  </conditionalFormatting>
  <conditionalFormatting sqref="AL20">
    <cfRule type="expression" dxfId="376" priority="582">
      <formula>OR(IF(AL20&lt;AM20,TRUE),IF(AND(AM20="",AL20&lt;&gt;""),TRUE))</formula>
    </cfRule>
    <cfRule type="expression" dxfId="375" priority="583">
      <formula>IF(AL20&gt;=AM20,IF(AL20="",FALSE,TRUE))</formula>
    </cfRule>
  </conditionalFormatting>
  <conditionalFormatting sqref="AQ23:AQ24">
    <cfRule type="expression" dxfId="374" priority="572">
      <formula>OR(IF(AQ23&lt;AR23,TRUE),IF(AND(AR23="",AQ23&lt;&gt;""),TRUE))</formula>
    </cfRule>
    <cfRule type="expression" dxfId="373" priority="573">
      <formula>IF(AQ23&gt;=AR23,IF(AQ23="",FALSE,TRUE))</formula>
    </cfRule>
  </conditionalFormatting>
  <conditionalFormatting sqref="AS23:AS24">
    <cfRule type="expression" dxfId="372" priority="570">
      <formula>OR(IF(AS23&lt;AT23,TRUE),IF(AND(AT23="",AS23&lt;&gt;""),TRUE))</formula>
    </cfRule>
    <cfRule type="expression" dxfId="371" priority="571">
      <formula>IF(AS23&gt;=AT23,IF(AS23="",FALSE,TRUE))</formula>
    </cfRule>
  </conditionalFormatting>
  <conditionalFormatting sqref="AQ20">
    <cfRule type="expression" dxfId="370" priority="568">
      <formula>OR(IF(AQ20&lt;AR20,TRUE),IF(AND(AR20="",AQ20&lt;&gt;""),TRUE))</formula>
    </cfRule>
    <cfRule type="expression" dxfId="369" priority="569">
      <formula>IF(AQ20&gt;=AR20,IF(AQ20="",FALSE,TRUE))</formula>
    </cfRule>
  </conditionalFormatting>
  <conditionalFormatting sqref="AS20">
    <cfRule type="expression" dxfId="368" priority="566">
      <formula>OR(IF(AS20&lt;AT20,TRUE),IF(AND(AT20="",AS20&lt;&gt;""),TRUE))</formula>
    </cfRule>
    <cfRule type="expression" dxfId="367" priority="567">
      <formula>IF(AS20&gt;=AT20,IF(AS20="",FALSE,TRUE))</formula>
    </cfRule>
  </conditionalFormatting>
  <conditionalFormatting sqref="AX13 AZ13 AZ16:AZ19 AX16:AX19">
    <cfRule type="expression" dxfId="366" priority="560">
      <formula>OR(IF(AX13&lt;AY13,TRUE),IF(AND(AY13="",AX13&lt;&gt;""),TRUE))</formula>
    </cfRule>
    <cfRule type="expression" dxfId="365" priority="561">
      <formula>IF(AX13&gt;=AY13,IF(AX13="",FALSE,TRUE))</formula>
    </cfRule>
  </conditionalFormatting>
  <conditionalFormatting sqref="AX23:AX24">
    <cfRule type="expression" dxfId="364" priority="556">
      <formula>OR(IF(AX23&lt;AY23,TRUE),IF(AND(AY23="",AX23&lt;&gt;""),TRUE))</formula>
    </cfRule>
    <cfRule type="expression" dxfId="363" priority="557">
      <formula>IF(AX23&gt;=AY23,IF(AX23="",FALSE,TRUE))</formula>
    </cfRule>
  </conditionalFormatting>
  <conditionalFormatting sqref="AZ23:AZ24">
    <cfRule type="expression" dxfId="362" priority="554">
      <formula>OR(IF(AZ23&lt;BA23,TRUE),IF(AND(BA23="",AZ23&lt;&gt;""),TRUE))</formula>
    </cfRule>
    <cfRule type="expression" dxfId="361" priority="555">
      <formula>IF(AZ23&gt;=BA23,IF(AZ23="",FALSE,TRUE))</formula>
    </cfRule>
  </conditionalFormatting>
  <conditionalFormatting sqref="AX20">
    <cfRule type="expression" dxfId="360" priority="552">
      <formula>OR(IF(AX20&lt;AY20,TRUE),IF(AND(AY20="",AX20&lt;&gt;""),TRUE))</formula>
    </cfRule>
    <cfRule type="expression" dxfId="359" priority="553">
      <formula>IF(AX20&gt;=AY20,IF(AX20="",FALSE,TRUE))</formula>
    </cfRule>
  </conditionalFormatting>
  <conditionalFormatting sqref="BG23:BG24">
    <cfRule type="expression" dxfId="358" priority="538">
      <formula>OR(IF(BG23&lt;BH23,TRUE),IF(AND(BH23="",BG23&lt;&gt;""),TRUE))</formula>
    </cfRule>
    <cfRule type="expression" dxfId="357" priority="539">
      <formula>IF(BG23&gt;=BH23,IF(BG23="",FALSE,TRUE))</formula>
    </cfRule>
  </conditionalFormatting>
  <conditionalFormatting sqref="BE20">
    <cfRule type="expression" dxfId="356" priority="536">
      <formula>OR(IF(BE20&lt;BF20,TRUE),IF(AND(BF20="",BE20&lt;&gt;""),TRUE))</formula>
    </cfRule>
    <cfRule type="expression" dxfId="355" priority="537">
      <formula>IF(BE20&gt;=BF20,IF(BE20="",FALSE,TRUE))</formula>
    </cfRule>
  </conditionalFormatting>
  <conditionalFormatting sqref="BG20">
    <cfRule type="expression" dxfId="354" priority="534">
      <formula>OR(IF(BG20&lt;BH20,TRUE),IF(AND(BH20="",BG20&lt;&gt;""),TRUE))</formula>
    </cfRule>
    <cfRule type="expression" dxfId="353" priority="535">
      <formula>IF(BG20&gt;=BH20,IF(BG20="",FALSE,TRUE))</formula>
    </cfRule>
  </conditionalFormatting>
  <conditionalFormatting sqref="J16:K20">
    <cfRule type="colorScale" priority="524">
      <colorScale>
        <cfvo type="percent" val="0"/>
        <cfvo type="percent" val="100"/>
        <color rgb="FFFF231B"/>
        <color rgb="FF10FF07"/>
      </colorScale>
    </cfRule>
  </conditionalFormatting>
  <conditionalFormatting sqref="J16:J20 J13">
    <cfRule type="colorScale" priority="523">
      <colorScale>
        <cfvo type="percent" val="0"/>
        <cfvo type="percent" val="100"/>
        <color rgb="FFFF231B"/>
        <color rgb="FF10FF07"/>
      </colorScale>
    </cfRule>
  </conditionalFormatting>
  <conditionalFormatting sqref="K16:K20 K13">
    <cfRule type="colorScale" priority="522">
      <colorScale>
        <cfvo type="percent" val="0"/>
        <cfvo type="percent" val="100"/>
        <color rgb="FFFF231B"/>
        <color rgb="FF10FF07"/>
      </colorScale>
    </cfRule>
  </conditionalFormatting>
  <conditionalFormatting sqref="BL13 BN13 BN16:BN19 BL16:BL19">
    <cfRule type="expression" dxfId="352" priority="520">
      <formula>OR(IF(BL13&lt;BM13,TRUE),IF(AND(BM13="",BL13&lt;&gt;""),TRUE))</formula>
    </cfRule>
    <cfRule type="expression" dxfId="351" priority="521">
      <formula>IF(BL13&gt;=BM13,IF(BL13="",FALSE,TRUE))</formula>
    </cfRule>
  </conditionalFormatting>
  <conditionalFormatting sqref="BL23:BL24">
    <cfRule type="expression" dxfId="350" priority="516">
      <formula>OR(IF(BL23&lt;BM23,TRUE),IF(AND(BM23="",BL23&lt;&gt;""),TRUE))</formula>
    </cfRule>
    <cfRule type="expression" dxfId="349" priority="517">
      <formula>IF(BL23&gt;=BM23,IF(BL23="",FALSE,TRUE))</formula>
    </cfRule>
  </conditionalFormatting>
  <conditionalFormatting sqref="BN23:BN24">
    <cfRule type="expression" dxfId="348" priority="514">
      <formula>OR(IF(BN23&lt;BO23,TRUE),IF(AND(BO23="",BN23&lt;&gt;""),TRUE))</formula>
    </cfRule>
    <cfRule type="expression" dxfId="347" priority="515">
      <formula>IF(BN23&gt;=BO23,IF(BN23="",FALSE,TRUE))</formula>
    </cfRule>
  </conditionalFormatting>
  <conditionalFormatting sqref="BL20">
    <cfRule type="expression" dxfId="346" priority="512">
      <formula>OR(IF(BL20&lt;BM20,TRUE),IF(AND(BM20="",BL20&lt;&gt;""),TRUE))</formula>
    </cfRule>
    <cfRule type="expression" dxfId="345" priority="513">
      <formula>IF(BL20&gt;=BM20,IF(BL20="",FALSE,TRUE))</formula>
    </cfRule>
  </conditionalFormatting>
  <conditionalFormatting sqref="BN20">
    <cfRule type="expression" dxfId="344" priority="510">
      <formula>OR(IF(BN20&lt;BO20,TRUE),IF(AND(BO20="",BN20&lt;&gt;""),TRUE))</formula>
    </cfRule>
    <cfRule type="expression" dxfId="343" priority="511">
      <formula>IF(BN20&gt;=BO20,IF(BN20="",FALSE,TRUE))</formula>
    </cfRule>
  </conditionalFormatting>
  <conditionalFormatting sqref="O36:O37">
    <cfRule type="expression" dxfId="342" priority="437">
      <formula>OR(IF(O36&lt;P36,TRUE),IF(AND(P36="",O36&lt;&gt;""),TRUE))</formula>
    </cfRule>
    <cfRule type="expression" dxfId="341" priority="438">
      <formula>IF(O36&gt;=P36,IF(O36="",FALSE,TRUE))</formula>
    </cfRule>
  </conditionalFormatting>
  <conditionalFormatting sqref="Q36:Q37">
    <cfRule type="expression" dxfId="340" priority="435">
      <formula>OR(IF(Q36&lt;R36,TRUE),IF(AND(R36="",Q36&lt;&gt;""),TRUE))</formula>
    </cfRule>
    <cfRule type="expression" dxfId="339" priority="436">
      <formula>IF(Q36&gt;=R36,IF(Q36="",FALSE,TRUE))</formula>
    </cfRule>
  </conditionalFormatting>
  <conditionalFormatting sqref="BE36:BE37">
    <cfRule type="expression" dxfId="338" priority="389">
      <formula>OR(IF(BE36&lt;BF36,TRUE),IF(AND(BF36="",BE36&lt;&gt;""),TRUE))</formula>
    </cfRule>
    <cfRule type="expression" dxfId="337" priority="390">
      <formula>IF(BE36&gt;=BF36,IF(BE36="",FALSE,TRUE))</formula>
    </cfRule>
  </conditionalFormatting>
  <conditionalFormatting sqref="V36:V37">
    <cfRule type="expression" dxfId="336" priority="429">
      <formula>OR(IF(V36&lt;W36,TRUE),IF(AND(W36="",V36&lt;&gt;""),TRUE))</formula>
    </cfRule>
    <cfRule type="expression" dxfId="335" priority="430">
      <formula>IF(V36&gt;=W36,IF(V36="",FALSE,TRUE))</formula>
    </cfRule>
  </conditionalFormatting>
  <conditionalFormatting sqref="X36:X37">
    <cfRule type="expression" dxfId="334" priority="427">
      <formula>OR(IF(X36&lt;Y36,TRUE),IF(AND(Y36="",X36&lt;&gt;""),TRUE))</formula>
    </cfRule>
    <cfRule type="expression" dxfId="333" priority="428">
      <formula>IF(X36&gt;=Y36,IF(X36="",FALSE,TRUE))</formula>
    </cfRule>
  </conditionalFormatting>
  <conditionalFormatting sqref="AC36:AC37">
    <cfRule type="expression" dxfId="332" priority="421">
      <formula>OR(IF(AC36&lt;AD36,TRUE),IF(AND(AD36="",AC36&lt;&gt;""),TRUE))</formula>
    </cfRule>
    <cfRule type="expression" dxfId="331" priority="422">
      <formula>IF(AC36&gt;=AD36,IF(AC36="",FALSE,TRUE))</formula>
    </cfRule>
  </conditionalFormatting>
  <conditionalFormatting sqref="AE36:AE37">
    <cfRule type="expression" dxfId="330" priority="419">
      <formula>OR(IF(AE36&lt;AF36,TRUE),IF(AND(AF36="",AE36&lt;&gt;""),TRUE))</formula>
    </cfRule>
    <cfRule type="expression" dxfId="329" priority="420">
      <formula>IF(AE36&gt;=AF36,IF(AE36="",FALSE,TRUE))</formula>
    </cfRule>
  </conditionalFormatting>
  <conditionalFormatting sqref="AJ36:AJ37">
    <cfRule type="expression" dxfId="328" priority="413">
      <formula>OR(IF(AJ36&lt;AK36,TRUE),IF(AND(AK36="",AJ36&lt;&gt;""),TRUE))</formula>
    </cfRule>
    <cfRule type="expression" dxfId="327" priority="414">
      <formula>IF(AJ36&gt;=AK36,IF(AJ36="",FALSE,TRUE))</formula>
    </cfRule>
  </conditionalFormatting>
  <conditionalFormatting sqref="AL36:AL37">
    <cfRule type="expression" dxfId="326" priority="411">
      <formula>OR(IF(AL36&lt;AM36,TRUE),IF(AND(AM36="",AL36&lt;&gt;""),TRUE))</formula>
    </cfRule>
    <cfRule type="expression" dxfId="325" priority="412">
      <formula>IF(AL36&gt;=AM36,IF(AL36="",FALSE,TRUE))</formula>
    </cfRule>
  </conditionalFormatting>
  <conditionalFormatting sqref="AQ36:AQ37">
    <cfRule type="expression" dxfId="324" priority="405">
      <formula>OR(IF(AQ36&lt;AR36,TRUE),IF(AND(AR36="",AQ36&lt;&gt;""),TRUE))</formula>
    </cfRule>
    <cfRule type="expression" dxfId="323" priority="406">
      <formula>IF(AQ36&gt;=AR36,IF(AQ36="",FALSE,TRUE))</formula>
    </cfRule>
  </conditionalFormatting>
  <conditionalFormatting sqref="AS36:AS37">
    <cfRule type="expression" dxfId="322" priority="403">
      <formula>OR(IF(AS36&lt;AT36,TRUE),IF(AND(AT36="",AS36&lt;&gt;""),TRUE))</formula>
    </cfRule>
    <cfRule type="expression" dxfId="321" priority="404">
      <formula>IF(AS36&gt;=AT36,IF(AS36="",FALSE,TRUE))</formula>
    </cfRule>
  </conditionalFormatting>
  <conditionalFormatting sqref="AX36:AX37">
    <cfRule type="expression" dxfId="320" priority="397">
      <formula>OR(IF(AX36&lt;AY36,TRUE),IF(AND(AY36="",AX36&lt;&gt;""),TRUE))</formula>
    </cfRule>
    <cfRule type="expression" dxfId="319" priority="398">
      <formula>IF(AX36&gt;=AY36,IF(AX36="",FALSE,TRUE))</formula>
    </cfRule>
  </conditionalFormatting>
  <conditionalFormatting sqref="AZ36:AZ37">
    <cfRule type="expression" dxfId="318" priority="395">
      <formula>OR(IF(AZ36&lt;BA36,TRUE),IF(AND(BA36="",AZ36&lt;&gt;""),TRUE))</formula>
    </cfRule>
    <cfRule type="expression" dxfId="317" priority="396">
      <formula>IF(AZ36&gt;=BA36,IF(AZ36="",FALSE,TRUE))</formula>
    </cfRule>
  </conditionalFormatting>
  <conditionalFormatting sqref="BG36:BG37">
    <cfRule type="expression" dxfId="316" priority="387">
      <formula>OR(IF(BG36&lt;BH36,TRUE),IF(AND(BH36="",BG36&lt;&gt;""),TRUE))</formula>
    </cfRule>
    <cfRule type="expression" dxfId="315" priority="388">
      <formula>IF(BG36&gt;=BH36,IF(BG36="",FALSE,TRUE))</formula>
    </cfRule>
  </conditionalFormatting>
  <conditionalFormatting sqref="BL36:BL37">
    <cfRule type="expression" dxfId="314" priority="378">
      <formula>OR(IF(BL36&lt;BM36,TRUE),IF(AND(BM36="",BL36&lt;&gt;""),TRUE))</formula>
    </cfRule>
    <cfRule type="expression" dxfId="313" priority="379">
      <formula>IF(BL36&gt;=BM36,IF(BL36="",FALSE,TRUE))</formula>
    </cfRule>
  </conditionalFormatting>
  <conditionalFormatting sqref="BN36:BN37">
    <cfRule type="expression" dxfId="312" priority="376">
      <formula>OR(IF(BN36&lt;BO36,TRUE),IF(AND(BO36="",BN36&lt;&gt;""),TRUE))</formula>
    </cfRule>
    <cfRule type="expression" dxfId="311" priority="377">
      <formula>IF(BN36&gt;=BO36,IF(BN36="",FALSE,TRUE))</formula>
    </cfRule>
  </conditionalFormatting>
  <conditionalFormatting sqref="J6:K10">
    <cfRule type="colorScale" priority="712">
      <colorScale>
        <cfvo type="percent" val="0"/>
        <cfvo type="percent" val="100"/>
        <color rgb="FFFF231B"/>
        <color rgb="FF10FF07"/>
      </colorScale>
    </cfRule>
  </conditionalFormatting>
  <conditionalFormatting sqref="J5:J10">
    <cfRule type="colorScale" priority="741">
      <colorScale>
        <cfvo type="percent" val="0"/>
        <cfvo type="percent" val="100"/>
        <color rgb="FFFF231B"/>
        <color rgb="FF10FF07"/>
      </colorScale>
    </cfRule>
  </conditionalFormatting>
  <conditionalFormatting sqref="K5:K10">
    <cfRule type="colorScale" priority="742">
      <colorScale>
        <cfvo type="percent" val="0"/>
        <cfvo type="percent" val="100"/>
        <color rgb="FFFF231B"/>
        <color rgb="FF10FF07"/>
      </colorScale>
    </cfRule>
  </conditionalFormatting>
  <conditionalFormatting sqref="O14 Q14">
    <cfRule type="expression" dxfId="310" priority="303">
      <formula>OR(IF(O14&lt;P14,TRUE),IF(AND(P14="",O14&lt;&gt;""),TRUE))</formula>
    </cfRule>
    <cfRule type="expression" dxfId="309" priority="304">
      <formula>IF(O14&gt;=P14,IF(O14="",FALSE,TRUE))</formula>
    </cfRule>
  </conditionalFormatting>
  <conditionalFormatting sqref="AQ14 AS14">
    <cfRule type="expression" dxfId="308" priority="295">
      <formula>OR(IF(AQ14&lt;AR14,TRUE),IF(AND(AR14="",AQ14&lt;&gt;""),TRUE))</formula>
    </cfRule>
    <cfRule type="expression" dxfId="307" priority="296">
      <formula>IF(AQ14&gt;=AR14,IF(AQ14="",FALSE,TRUE))</formula>
    </cfRule>
  </conditionalFormatting>
  <conditionalFormatting sqref="BE14 BG14">
    <cfRule type="expression" dxfId="306" priority="291">
      <formula>OR(IF(BE14&lt;BF14,TRUE),IF(AND(BF14="",BE14&lt;&gt;""),TRUE))</formula>
    </cfRule>
    <cfRule type="expression" dxfId="305" priority="292">
      <formula>IF(BE14&gt;=BF14,IF(BE14="",FALSE,TRUE))</formula>
    </cfRule>
  </conditionalFormatting>
  <conditionalFormatting sqref="V14 X14">
    <cfRule type="expression" dxfId="304" priority="301">
      <formula>OR(IF(V14&lt;W14,TRUE),IF(AND(W14="",V14&lt;&gt;""),TRUE))</formula>
    </cfRule>
    <cfRule type="expression" dxfId="303" priority="302">
      <formula>IF(V14&gt;=W14,IF(V14="",FALSE,TRUE))</formula>
    </cfRule>
  </conditionalFormatting>
  <conditionalFormatting sqref="AC14 AE14">
    <cfRule type="expression" dxfId="302" priority="299">
      <formula>OR(IF(AC14&lt;AD14,TRUE),IF(AND(AD14="",AC14&lt;&gt;""),TRUE))</formula>
    </cfRule>
    <cfRule type="expression" dxfId="301" priority="300">
      <formula>IF(AC14&gt;=AD14,IF(AC14="",FALSE,TRUE))</formula>
    </cfRule>
  </conditionalFormatting>
  <conditionalFormatting sqref="AJ14 AL14">
    <cfRule type="expression" dxfId="300" priority="297">
      <formula>OR(IF(AJ14&lt;AK14,TRUE),IF(AND(AK14="",AJ14&lt;&gt;""),TRUE))</formula>
    </cfRule>
    <cfRule type="expression" dxfId="299" priority="298">
      <formula>IF(AJ14&gt;=AK14,IF(AJ14="",FALSE,TRUE))</formula>
    </cfRule>
  </conditionalFormatting>
  <conditionalFormatting sqref="AX14 AZ14">
    <cfRule type="expression" dxfId="298" priority="293">
      <formula>OR(IF(AX14&lt;AY14,TRUE),IF(AND(AY14="",AX14&lt;&gt;""),TRUE))</formula>
    </cfRule>
    <cfRule type="expression" dxfId="297" priority="294">
      <formula>IF(AX14&gt;=AY14,IF(AX14="",FALSE,TRUE))</formula>
    </cfRule>
  </conditionalFormatting>
  <conditionalFormatting sqref="J14:K14">
    <cfRule type="colorScale" priority="290">
      <colorScale>
        <cfvo type="percent" val="0"/>
        <cfvo type="percent" val="100"/>
        <color rgb="FFFF231B"/>
        <color rgb="FF10FF07"/>
      </colorScale>
    </cfRule>
  </conditionalFormatting>
  <conditionalFormatting sqref="J14">
    <cfRule type="colorScale" priority="289">
      <colorScale>
        <cfvo type="percent" val="0"/>
        <cfvo type="percent" val="100"/>
        <color rgb="FFFF231B"/>
        <color rgb="FF10FF07"/>
      </colorScale>
    </cfRule>
  </conditionalFormatting>
  <conditionalFormatting sqref="K14">
    <cfRule type="colorScale" priority="288">
      <colorScale>
        <cfvo type="percent" val="0"/>
        <cfvo type="percent" val="100"/>
        <color rgb="FFFF231B"/>
        <color rgb="FF10FF07"/>
      </colorScale>
    </cfRule>
  </conditionalFormatting>
  <conditionalFormatting sqref="BL14 BN14">
    <cfRule type="expression" dxfId="296" priority="286">
      <formula>OR(IF(BL14&lt;BM14,TRUE),IF(AND(BM14="",BL14&lt;&gt;""),TRUE))</formula>
    </cfRule>
    <cfRule type="expression" dxfId="295" priority="287">
      <formula>IF(BL14&gt;=BM14,IF(BL14="",FALSE,TRUE))</formula>
    </cfRule>
  </conditionalFormatting>
  <conditionalFormatting sqref="Q15 O15">
    <cfRule type="expression" dxfId="294" priority="284">
      <formula>OR(IF(O15&lt;P15,TRUE),IF(AND(P15="",O15&lt;&gt;""),TRUE))</formula>
    </cfRule>
    <cfRule type="expression" dxfId="293" priority="285">
      <formula>IF(O15&gt;=P15,IF(O15="",FALSE,TRUE))</formula>
    </cfRule>
  </conditionalFormatting>
  <conditionalFormatting sqref="AS15 AQ15">
    <cfRule type="expression" dxfId="292" priority="276">
      <formula>OR(IF(AQ15&lt;AR15,TRUE),IF(AND(AR15="",AQ15&lt;&gt;""),TRUE))</formula>
    </cfRule>
    <cfRule type="expression" dxfId="291" priority="277">
      <formula>IF(AQ15&gt;=AR15,IF(AQ15="",FALSE,TRUE))</formula>
    </cfRule>
  </conditionalFormatting>
  <conditionalFormatting sqref="BG15 BE15">
    <cfRule type="expression" dxfId="290" priority="272">
      <formula>OR(IF(BE15&lt;BF15,TRUE),IF(AND(BF15="",BE15&lt;&gt;""),TRUE))</formula>
    </cfRule>
    <cfRule type="expression" dxfId="289" priority="273">
      <formula>IF(BE15&gt;=BF15,IF(BE15="",FALSE,TRUE))</formula>
    </cfRule>
  </conditionalFormatting>
  <conditionalFormatting sqref="X15 V15">
    <cfRule type="expression" dxfId="288" priority="282">
      <formula>OR(IF(V15&lt;W15,TRUE),IF(AND(W15="",V15&lt;&gt;""),TRUE))</formula>
    </cfRule>
    <cfRule type="expression" dxfId="287" priority="283">
      <formula>IF(V15&gt;=W15,IF(V15="",FALSE,TRUE))</formula>
    </cfRule>
  </conditionalFormatting>
  <conditionalFormatting sqref="AE15 AC15">
    <cfRule type="expression" dxfId="286" priority="280">
      <formula>OR(IF(AC15&lt;AD15,TRUE),IF(AND(AD15="",AC15&lt;&gt;""),TRUE))</formula>
    </cfRule>
    <cfRule type="expression" dxfId="285" priority="281">
      <formula>IF(AC15&gt;=AD15,IF(AC15="",FALSE,TRUE))</formula>
    </cfRule>
  </conditionalFormatting>
  <conditionalFormatting sqref="AL15 AJ15">
    <cfRule type="expression" dxfId="284" priority="278">
      <formula>OR(IF(AJ15&lt;AK15,TRUE),IF(AND(AK15="",AJ15&lt;&gt;""),TRUE))</formula>
    </cfRule>
    <cfRule type="expression" dxfId="283" priority="279">
      <formula>IF(AJ15&gt;=AK15,IF(AJ15="",FALSE,TRUE))</formula>
    </cfRule>
  </conditionalFormatting>
  <conditionalFormatting sqref="AZ15 AX15">
    <cfRule type="expression" dxfId="282" priority="274">
      <formula>OR(IF(AX15&lt;AY15,TRUE),IF(AND(AY15="",AX15&lt;&gt;""),TRUE))</formula>
    </cfRule>
    <cfRule type="expression" dxfId="281" priority="275">
      <formula>IF(AX15&gt;=AY15,IF(AX15="",FALSE,TRUE))</formula>
    </cfRule>
  </conditionalFormatting>
  <conditionalFormatting sqref="J15:K15">
    <cfRule type="colorScale" priority="271">
      <colorScale>
        <cfvo type="percent" val="0"/>
        <cfvo type="percent" val="100"/>
        <color rgb="FFFF231B"/>
        <color rgb="FF10FF07"/>
      </colorScale>
    </cfRule>
  </conditionalFormatting>
  <conditionalFormatting sqref="J15">
    <cfRule type="colorScale" priority="270">
      <colorScale>
        <cfvo type="percent" val="0"/>
        <cfvo type="percent" val="100"/>
        <color rgb="FFFF231B"/>
        <color rgb="FF10FF07"/>
      </colorScale>
    </cfRule>
  </conditionalFormatting>
  <conditionalFormatting sqref="K15">
    <cfRule type="colorScale" priority="269">
      <colorScale>
        <cfvo type="percent" val="0"/>
        <cfvo type="percent" val="100"/>
        <color rgb="FFFF231B"/>
        <color rgb="FF10FF07"/>
      </colorScale>
    </cfRule>
  </conditionalFormatting>
  <conditionalFormatting sqref="BN15 BL15">
    <cfRule type="expression" dxfId="280" priority="267">
      <formula>OR(IF(BL15&lt;BM15,TRUE),IF(AND(BM15="",BL15&lt;&gt;""),TRUE))</formula>
    </cfRule>
    <cfRule type="expression" dxfId="279" priority="268">
      <formula>IF(BL15&gt;=BM15,IF(BL15="",FALSE,TRUE))</formula>
    </cfRule>
  </conditionalFormatting>
  <conditionalFormatting sqref="J24:K33">
    <cfRule type="colorScale" priority="799">
      <colorScale>
        <cfvo type="percent" val="0"/>
        <cfvo type="percent" val="100"/>
        <color rgb="FFFF231B"/>
        <color rgb="FF10FF07"/>
      </colorScale>
    </cfRule>
  </conditionalFormatting>
  <conditionalFormatting sqref="J23:J33">
    <cfRule type="colorScale" priority="801">
      <colorScale>
        <cfvo type="percent" val="0"/>
        <cfvo type="percent" val="100"/>
        <color rgb="FFFF231B"/>
        <color rgb="FF10FF07"/>
      </colorScale>
    </cfRule>
  </conditionalFormatting>
  <conditionalFormatting sqref="K23:K33">
    <cfRule type="colorScale" priority="803">
      <colorScale>
        <cfvo type="percent" val="0"/>
        <cfvo type="percent" val="100"/>
        <color rgb="FFFF231B"/>
        <color rgb="FF10FF07"/>
      </colorScale>
    </cfRule>
  </conditionalFormatting>
  <conditionalFormatting sqref="J37:K42">
    <cfRule type="colorScale" priority="832">
      <colorScale>
        <cfvo type="percent" val="0"/>
        <cfvo type="percent" val="100"/>
        <color rgb="FFFF231B"/>
        <color rgb="FF10FF07"/>
      </colorScale>
    </cfRule>
  </conditionalFormatting>
  <conditionalFormatting sqref="J36:J42">
    <cfRule type="colorScale" priority="834">
      <colorScale>
        <cfvo type="percent" val="0"/>
        <cfvo type="percent" val="100"/>
        <color rgb="FFFF231B"/>
        <color rgb="FF10FF07"/>
      </colorScale>
    </cfRule>
  </conditionalFormatting>
  <conditionalFormatting sqref="K36:K42">
    <cfRule type="colorScale" priority="836">
      <colorScale>
        <cfvo type="percent" val="0"/>
        <cfvo type="percent" val="100"/>
        <color rgb="FFFF231B"/>
        <color rgb="FF10FF07"/>
      </colorScale>
    </cfRule>
  </conditionalFormatting>
  <conditionalFormatting sqref="J46:K54">
    <cfRule type="colorScale" priority="893">
      <colorScale>
        <cfvo type="percent" val="0"/>
        <cfvo type="percent" val="100"/>
        <color rgb="FFFF231B"/>
        <color rgb="FF10FF07"/>
      </colorScale>
    </cfRule>
  </conditionalFormatting>
  <conditionalFormatting sqref="J45:J54">
    <cfRule type="colorScale" priority="894">
      <colorScale>
        <cfvo type="percent" val="0"/>
        <cfvo type="percent" val="100"/>
        <color rgb="FFFF231B"/>
        <color rgb="FF10FF07"/>
      </colorScale>
    </cfRule>
  </conditionalFormatting>
  <conditionalFormatting sqref="K45:K54">
    <cfRule type="colorScale" priority="896">
      <colorScale>
        <cfvo type="percent" val="0"/>
        <cfvo type="percent" val="100"/>
        <color rgb="FFFF231B"/>
        <color rgb="FF10FF07"/>
      </colorScale>
    </cfRule>
  </conditionalFormatting>
  <conditionalFormatting sqref="BS5:BS10 BU5:BU10 BU25:BU33 BS25:BS33 BU38:BU42 BS38:BS42 BU45:BU54 BS45:BS54">
    <cfRule type="expression" dxfId="278" priority="265">
      <formula>OR(IF(BS5&lt;BT5,TRUE),IF(AND(BT5="",BS5&lt;&gt;""),TRUE))</formula>
    </cfRule>
    <cfRule type="expression" dxfId="277" priority="266">
      <formula>IF(BS5&gt;=BT5,IF(BS5="",FALSE,TRUE))</formula>
    </cfRule>
  </conditionalFormatting>
  <conditionalFormatting sqref="BS13 BU13 BU16:BU19 BS16:BS19">
    <cfRule type="expression" dxfId="276" priority="263">
      <formula>OR(IF(BS13&lt;BT13,TRUE),IF(AND(BT13="",BS13&lt;&gt;""),TRUE))</formula>
    </cfRule>
    <cfRule type="expression" dxfId="275" priority="264">
      <formula>IF(BS13&gt;=BT13,IF(BS13="",FALSE,TRUE))</formula>
    </cfRule>
  </conditionalFormatting>
  <conditionalFormatting sqref="BS23:BS24">
    <cfRule type="expression" dxfId="274" priority="261">
      <formula>OR(IF(BS23&lt;BT23,TRUE),IF(AND(BT23="",BS23&lt;&gt;""),TRUE))</formula>
    </cfRule>
    <cfRule type="expression" dxfId="273" priority="262">
      <formula>IF(BS23&gt;=BT23,IF(BS23="",FALSE,TRUE))</formula>
    </cfRule>
  </conditionalFormatting>
  <conditionalFormatting sqref="BU23:BU24">
    <cfRule type="expression" dxfId="272" priority="259">
      <formula>OR(IF(BU23&lt;BV23,TRUE),IF(AND(BV23="",BU23&lt;&gt;""),TRUE))</formula>
    </cfRule>
    <cfRule type="expression" dxfId="271" priority="260">
      <formula>IF(BU23&gt;=BV23,IF(BU23="",FALSE,TRUE))</formula>
    </cfRule>
  </conditionalFormatting>
  <conditionalFormatting sqref="BS20">
    <cfRule type="expression" dxfId="270" priority="257">
      <formula>OR(IF(BS20&lt;BT20,TRUE),IF(AND(BT20="",BS20&lt;&gt;""),TRUE))</formula>
    </cfRule>
    <cfRule type="expression" dxfId="269" priority="258">
      <formula>IF(BS20&gt;=BT20,IF(BS20="",FALSE,TRUE))</formula>
    </cfRule>
  </conditionalFormatting>
  <conditionalFormatting sqref="BU20">
    <cfRule type="expression" dxfId="268" priority="255">
      <formula>OR(IF(BU20&lt;BV20,TRUE),IF(AND(BV20="",BU20&lt;&gt;""),TRUE))</formula>
    </cfRule>
    <cfRule type="expression" dxfId="267" priority="256">
      <formula>IF(BU20&gt;=BV20,IF(BU20="",FALSE,TRUE))</formula>
    </cfRule>
  </conditionalFormatting>
  <conditionalFormatting sqref="BS36:BS37">
    <cfRule type="expression" dxfId="266" priority="253">
      <formula>OR(IF(BS36&lt;BT36,TRUE),IF(AND(BT36="",BS36&lt;&gt;""),TRUE))</formula>
    </cfRule>
    <cfRule type="expression" dxfId="265" priority="254">
      <formula>IF(BS36&gt;=BT36,IF(BS36="",FALSE,TRUE))</formula>
    </cfRule>
  </conditionalFormatting>
  <conditionalFormatting sqref="BU36:BU37">
    <cfRule type="expression" dxfId="264" priority="251">
      <formula>OR(IF(BU36&lt;BV36,TRUE),IF(AND(BV36="",BU36&lt;&gt;""),TRUE))</formula>
    </cfRule>
    <cfRule type="expression" dxfId="263" priority="252">
      <formula>IF(BU36&gt;=BV36,IF(BU36="",FALSE,TRUE))</formula>
    </cfRule>
  </conditionalFormatting>
  <conditionalFormatting sqref="BS14 BU14">
    <cfRule type="expression" dxfId="262" priority="249">
      <formula>OR(IF(BS14&lt;BT14,TRUE),IF(AND(BT14="",BS14&lt;&gt;""),TRUE))</formula>
    </cfRule>
    <cfRule type="expression" dxfId="261" priority="250">
      <formula>IF(BS14&gt;=BT14,IF(BS14="",FALSE,TRUE))</formula>
    </cfRule>
  </conditionalFormatting>
  <conditionalFormatting sqref="BU15 BS15">
    <cfRule type="expression" dxfId="260" priority="247">
      <formula>OR(IF(BS15&lt;BT15,TRUE),IF(AND(BT15="",BS15&lt;&gt;""),TRUE))</formula>
    </cfRule>
    <cfRule type="expression" dxfId="259" priority="248">
      <formula>IF(BS15&gt;=BT15,IF(BS15="",FALSE,TRUE))</formula>
    </cfRule>
  </conditionalFormatting>
  <conditionalFormatting sqref="BZ5:BZ10 CB25:CB33 BZ25:BZ33 CB38:CB42 BZ38:BZ42 CB45:CB54 BZ45:BZ54">
    <cfRule type="expression" dxfId="258" priority="245">
      <formula>OR(IF(BZ5&lt;CA5,TRUE),IF(AND(CA5="",BZ5&lt;&gt;""),TRUE))</formula>
    </cfRule>
    <cfRule type="expression" dxfId="257" priority="246">
      <formula>IF(BZ5&gt;=CA5,IF(BZ5="",FALSE,TRUE))</formula>
    </cfRule>
  </conditionalFormatting>
  <conditionalFormatting sqref="BZ13 CB13 CB16:CB19 BZ16:BZ19">
    <cfRule type="expression" dxfId="256" priority="243">
      <formula>OR(IF(BZ13&lt;CA13,TRUE),IF(AND(CA13="",BZ13&lt;&gt;""),TRUE))</formula>
    </cfRule>
    <cfRule type="expression" dxfId="255" priority="244">
      <formula>IF(BZ13&gt;=CA13,IF(BZ13="",FALSE,TRUE))</formula>
    </cfRule>
  </conditionalFormatting>
  <conditionalFormatting sqref="BZ23:BZ24">
    <cfRule type="expression" dxfId="254" priority="241">
      <formula>OR(IF(BZ23&lt;CA23,TRUE),IF(AND(CA23="",BZ23&lt;&gt;""),TRUE))</formula>
    </cfRule>
    <cfRule type="expression" dxfId="253" priority="242">
      <formula>IF(BZ23&gt;=CA23,IF(BZ23="",FALSE,TRUE))</formula>
    </cfRule>
  </conditionalFormatting>
  <conditionalFormatting sqref="CB23:CB24">
    <cfRule type="expression" dxfId="252" priority="239">
      <formula>OR(IF(CB23&lt;CC23,TRUE),IF(AND(CC23="",CB23&lt;&gt;""),TRUE))</formula>
    </cfRule>
    <cfRule type="expression" dxfId="251" priority="240">
      <formula>IF(CB23&gt;=CC23,IF(CB23="",FALSE,TRUE))</formula>
    </cfRule>
  </conditionalFormatting>
  <conditionalFormatting sqref="BZ20">
    <cfRule type="expression" dxfId="250" priority="237">
      <formula>OR(IF(BZ20&lt;CA20,TRUE),IF(AND(CA20="",BZ20&lt;&gt;""),TRUE))</formula>
    </cfRule>
    <cfRule type="expression" dxfId="249" priority="238">
      <formula>IF(BZ20&gt;=CA20,IF(BZ20="",FALSE,TRUE))</formula>
    </cfRule>
  </conditionalFormatting>
  <conditionalFormatting sqref="CB20">
    <cfRule type="expression" dxfId="248" priority="235">
      <formula>OR(IF(CB20&lt;CC20,TRUE),IF(AND(CC20="",CB20&lt;&gt;""),TRUE))</formula>
    </cfRule>
    <cfRule type="expression" dxfId="247" priority="236">
      <formula>IF(CB20&gt;=CC20,IF(CB20="",FALSE,TRUE))</formula>
    </cfRule>
  </conditionalFormatting>
  <conditionalFormatting sqref="BZ36:BZ37">
    <cfRule type="expression" dxfId="246" priority="233">
      <formula>OR(IF(BZ36&lt;CA36,TRUE),IF(AND(CA36="",BZ36&lt;&gt;""),TRUE))</formula>
    </cfRule>
    <cfRule type="expression" dxfId="245" priority="234">
      <formula>IF(BZ36&gt;=CA36,IF(BZ36="",FALSE,TRUE))</formula>
    </cfRule>
  </conditionalFormatting>
  <conditionalFormatting sqref="CB36:CB37">
    <cfRule type="expression" dxfId="244" priority="231">
      <formula>OR(IF(CB36&lt;CC36,TRUE),IF(AND(CC36="",CB36&lt;&gt;""),TRUE))</formula>
    </cfRule>
    <cfRule type="expression" dxfId="243" priority="232">
      <formula>IF(CB36&gt;=CC36,IF(CB36="",FALSE,TRUE))</formula>
    </cfRule>
  </conditionalFormatting>
  <conditionalFormatting sqref="BZ14 CB14">
    <cfRule type="expression" dxfId="242" priority="229">
      <formula>OR(IF(BZ14&lt;CA14,TRUE),IF(AND(CA14="",BZ14&lt;&gt;""),TRUE))</formula>
    </cfRule>
    <cfRule type="expression" dxfId="241" priority="230">
      <formula>IF(BZ14&gt;=CA14,IF(BZ14="",FALSE,TRUE))</formula>
    </cfRule>
  </conditionalFormatting>
  <conditionalFormatting sqref="CB15 BZ15">
    <cfRule type="expression" dxfId="240" priority="227">
      <formula>OR(IF(BZ15&lt;CA15,TRUE),IF(AND(CA15="",BZ15&lt;&gt;""),TRUE))</formula>
    </cfRule>
    <cfRule type="expression" dxfId="239" priority="228">
      <formula>IF(BZ15&gt;=CA15,IF(BZ15="",FALSE,TRUE))</formula>
    </cfRule>
  </conditionalFormatting>
  <conditionalFormatting sqref="CG5:CG10 CI5:CI10 CI25:CI33 CG25:CG33 CI38:CI42 CG38:CG42 CI45:CI54 CG45:CG54">
    <cfRule type="expression" dxfId="238" priority="225">
      <formula>OR(IF(CG5&lt;CH5,TRUE),IF(AND(CH5="",CG5&lt;&gt;""),TRUE))</formula>
    </cfRule>
    <cfRule type="expression" dxfId="237" priority="226">
      <formula>IF(CG5&gt;=CH5,IF(CG5="",FALSE,TRUE))</formula>
    </cfRule>
  </conditionalFormatting>
  <conditionalFormatting sqref="CG13 CI13 CI16:CI19 CG16:CG19">
    <cfRule type="expression" dxfId="236" priority="223">
      <formula>OR(IF(CG13&lt;CH13,TRUE),IF(AND(CH13="",CG13&lt;&gt;""),TRUE))</formula>
    </cfRule>
    <cfRule type="expression" dxfId="235" priority="224">
      <formula>IF(CG13&gt;=CH13,IF(CG13="",FALSE,TRUE))</formula>
    </cfRule>
  </conditionalFormatting>
  <conditionalFormatting sqref="CG23:CG24">
    <cfRule type="expression" dxfId="234" priority="221">
      <formula>OR(IF(CG23&lt;CH23,TRUE),IF(AND(CH23="",CG23&lt;&gt;""),TRUE))</formula>
    </cfRule>
    <cfRule type="expression" dxfId="233" priority="222">
      <formula>IF(CG23&gt;=CH23,IF(CG23="",FALSE,TRUE))</formula>
    </cfRule>
  </conditionalFormatting>
  <conditionalFormatting sqref="CI23:CI24">
    <cfRule type="expression" dxfId="232" priority="219">
      <formula>OR(IF(CI23&lt;CJ23,TRUE),IF(AND(CJ23="",CI23&lt;&gt;""),TRUE))</formula>
    </cfRule>
    <cfRule type="expression" dxfId="231" priority="220">
      <formula>IF(CI23&gt;=CJ23,IF(CI23="",FALSE,TRUE))</formula>
    </cfRule>
  </conditionalFormatting>
  <conditionalFormatting sqref="CG20">
    <cfRule type="expression" dxfId="230" priority="217">
      <formula>OR(IF(CG20&lt;CH20,TRUE),IF(AND(CH20="",CG20&lt;&gt;""),TRUE))</formula>
    </cfRule>
    <cfRule type="expression" dxfId="229" priority="218">
      <formula>IF(CG20&gt;=CH20,IF(CG20="",FALSE,TRUE))</formula>
    </cfRule>
  </conditionalFormatting>
  <conditionalFormatting sqref="CI20">
    <cfRule type="expression" dxfId="228" priority="215">
      <formula>OR(IF(CI20&lt;CJ20,TRUE),IF(AND(CJ20="",CI20&lt;&gt;""),TRUE))</formula>
    </cfRule>
    <cfRule type="expression" dxfId="227" priority="216">
      <formula>IF(CI20&gt;=CJ20,IF(CI20="",FALSE,TRUE))</formula>
    </cfRule>
  </conditionalFormatting>
  <conditionalFormatting sqref="CG36:CG37">
    <cfRule type="expression" dxfId="226" priority="213">
      <formula>OR(IF(CG36&lt;CH36,TRUE),IF(AND(CH36="",CG36&lt;&gt;""),TRUE))</formula>
    </cfRule>
    <cfRule type="expression" dxfId="225" priority="214">
      <formula>IF(CG36&gt;=CH36,IF(CG36="",FALSE,TRUE))</formula>
    </cfRule>
  </conditionalFormatting>
  <conditionalFormatting sqref="CI36:CI37">
    <cfRule type="expression" dxfId="224" priority="211">
      <formula>OR(IF(CI36&lt;CJ36,TRUE),IF(AND(CJ36="",CI36&lt;&gt;""),TRUE))</formula>
    </cfRule>
    <cfRule type="expression" dxfId="223" priority="212">
      <formula>IF(CI36&gt;=CJ36,IF(CI36="",FALSE,TRUE))</formula>
    </cfRule>
  </conditionalFormatting>
  <conditionalFormatting sqref="CG14 CI14">
    <cfRule type="expression" dxfId="222" priority="209">
      <formula>OR(IF(CG14&lt;CH14,TRUE),IF(AND(CH14="",CG14&lt;&gt;""),TRUE))</formula>
    </cfRule>
    <cfRule type="expression" dxfId="221" priority="210">
      <formula>IF(CG14&gt;=CH14,IF(CG14="",FALSE,TRUE))</formula>
    </cfRule>
  </conditionalFormatting>
  <conditionalFormatting sqref="CI15 CG15">
    <cfRule type="expression" dxfId="220" priority="207">
      <formula>OR(IF(CG15&lt;CH15,TRUE),IF(AND(CH15="",CG15&lt;&gt;""),TRUE))</formula>
    </cfRule>
    <cfRule type="expression" dxfId="219" priority="208">
      <formula>IF(CG15&gt;=CH15,IF(CG15="",FALSE,TRUE))</formula>
    </cfRule>
  </conditionalFormatting>
  <conditionalFormatting sqref="CN5:CN10 CP5:CP10 CP25:CP33 CN25:CN33 CP38:CP42 CN38:CN42 CP45:CP54 CN45:CN54">
    <cfRule type="expression" dxfId="218" priority="205">
      <formula>OR(IF(CN5&lt;CO5,TRUE),IF(AND(CO5="",CN5&lt;&gt;""),TRUE))</formula>
    </cfRule>
    <cfRule type="expression" dxfId="217" priority="206">
      <formula>IF(CN5&gt;=CO5,IF(CN5="",FALSE,TRUE))</formula>
    </cfRule>
  </conditionalFormatting>
  <conditionalFormatting sqref="CN13 CP13 CP16:CP19 CN16:CN19">
    <cfRule type="expression" dxfId="216" priority="203">
      <formula>OR(IF(CN13&lt;CO13,TRUE),IF(AND(CO13="",CN13&lt;&gt;""),TRUE))</formula>
    </cfRule>
    <cfRule type="expression" dxfId="215" priority="204">
      <formula>IF(CN13&gt;=CO13,IF(CN13="",FALSE,TRUE))</formula>
    </cfRule>
  </conditionalFormatting>
  <conditionalFormatting sqref="CN23:CN24">
    <cfRule type="expression" dxfId="214" priority="201">
      <formula>OR(IF(CN23&lt;CO23,TRUE),IF(AND(CO23="",CN23&lt;&gt;""),TRUE))</formula>
    </cfRule>
    <cfRule type="expression" dxfId="213" priority="202">
      <formula>IF(CN23&gt;=CO23,IF(CN23="",FALSE,TRUE))</formula>
    </cfRule>
  </conditionalFormatting>
  <conditionalFormatting sqref="CP23:CP24">
    <cfRule type="expression" dxfId="212" priority="199">
      <formula>OR(IF(CP23&lt;CQ23,TRUE),IF(AND(CQ23="",CP23&lt;&gt;""),TRUE))</formula>
    </cfRule>
    <cfRule type="expression" dxfId="211" priority="200">
      <formula>IF(CP23&gt;=CQ23,IF(CP23="",FALSE,TRUE))</formula>
    </cfRule>
  </conditionalFormatting>
  <conditionalFormatting sqref="CN20">
    <cfRule type="expression" dxfId="210" priority="197">
      <formula>OR(IF(CN20&lt;CO20,TRUE),IF(AND(CO20="",CN20&lt;&gt;""),TRUE))</formula>
    </cfRule>
    <cfRule type="expression" dxfId="209" priority="198">
      <formula>IF(CN20&gt;=CO20,IF(CN20="",FALSE,TRUE))</formula>
    </cfRule>
  </conditionalFormatting>
  <conditionalFormatting sqref="CP20">
    <cfRule type="expression" dxfId="208" priority="195">
      <formula>OR(IF(CP20&lt;CQ20,TRUE),IF(AND(CQ20="",CP20&lt;&gt;""),TRUE))</formula>
    </cfRule>
    <cfRule type="expression" dxfId="207" priority="196">
      <formula>IF(CP20&gt;=CQ20,IF(CP20="",FALSE,TRUE))</formula>
    </cfRule>
  </conditionalFormatting>
  <conditionalFormatting sqref="CN36:CN37">
    <cfRule type="expression" dxfId="206" priority="193">
      <formula>OR(IF(CN36&lt;CO36,TRUE),IF(AND(CO36="",CN36&lt;&gt;""),TRUE))</formula>
    </cfRule>
    <cfRule type="expression" dxfId="205" priority="194">
      <formula>IF(CN36&gt;=CO36,IF(CN36="",FALSE,TRUE))</formula>
    </cfRule>
  </conditionalFormatting>
  <conditionalFormatting sqref="CP36:CP37">
    <cfRule type="expression" dxfId="204" priority="191">
      <formula>OR(IF(CP36&lt;CQ36,TRUE),IF(AND(CQ36="",CP36&lt;&gt;""),TRUE))</formula>
    </cfRule>
    <cfRule type="expression" dxfId="203" priority="192">
      <formula>IF(CP36&gt;=CQ36,IF(CP36="",FALSE,TRUE))</formula>
    </cfRule>
  </conditionalFormatting>
  <conditionalFormatting sqref="CN14 CP14">
    <cfRule type="expression" dxfId="202" priority="189">
      <formula>OR(IF(CN14&lt;CO14,TRUE),IF(AND(CO14="",CN14&lt;&gt;""),TRUE))</formula>
    </cfRule>
    <cfRule type="expression" dxfId="201" priority="190">
      <formula>IF(CN14&gt;=CO14,IF(CN14="",FALSE,TRUE))</formula>
    </cfRule>
  </conditionalFormatting>
  <conditionalFormatting sqref="CP15 CN15">
    <cfRule type="expression" dxfId="200" priority="187">
      <formula>OR(IF(CN15&lt;CO15,TRUE),IF(AND(CO15="",CN15&lt;&gt;""),TRUE))</formula>
    </cfRule>
    <cfRule type="expression" dxfId="199" priority="188">
      <formula>IF(CN15&gt;=CO15,IF(CN15="",FALSE,TRUE))</formula>
    </cfRule>
  </conditionalFormatting>
  <conditionalFormatting sqref="CU5:CU10 CW5:CW10 CW25:CW33 CU25:CU33 CW38:CW42 CU38:CU42 CW45:CW54 CU45:CU54">
    <cfRule type="expression" dxfId="198" priority="185">
      <formula>OR(IF(CU5&lt;CV5,TRUE),IF(AND(CV5="",CU5&lt;&gt;""),TRUE))</formula>
    </cfRule>
    <cfRule type="expression" dxfId="197" priority="186">
      <formula>IF(CU5&gt;=CV5,IF(CU5="",FALSE,TRUE))</formula>
    </cfRule>
  </conditionalFormatting>
  <conditionalFormatting sqref="CU13 CW13 CW16:CW19 CU16:CU19">
    <cfRule type="expression" dxfId="196" priority="183">
      <formula>OR(IF(CU13&lt;CV13,TRUE),IF(AND(CV13="",CU13&lt;&gt;""),TRUE))</formula>
    </cfRule>
    <cfRule type="expression" dxfId="195" priority="184">
      <formula>IF(CU13&gt;=CV13,IF(CU13="",FALSE,TRUE))</formula>
    </cfRule>
  </conditionalFormatting>
  <conditionalFormatting sqref="CU23:CU24">
    <cfRule type="expression" dxfId="194" priority="181">
      <formula>OR(IF(CU23&lt;CV23,TRUE),IF(AND(CV23="",CU23&lt;&gt;""),TRUE))</formula>
    </cfRule>
    <cfRule type="expression" dxfId="193" priority="182">
      <formula>IF(CU23&gt;=CV23,IF(CU23="",FALSE,TRUE))</formula>
    </cfRule>
  </conditionalFormatting>
  <conditionalFormatting sqref="CW23:CW24">
    <cfRule type="expression" dxfId="192" priority="179">
      <formula>OR(IF(CW23&lt;CX23,TRUE),IF(AND(CX23="",CW23&lt;&gt;""),TRUE))</formula>
    </cfRule>
    <cfRule type="expression" dxfId="191" priority="180">
      <formula>IF(CW23&gt;=CX23,IF(CW23="",FALSE,TRUE))</formula>
    </cfRule>
  </conditionalFormatting>
  <conditionalFormatting sqref="CU20">
    <cfRule type="expression" dxfId="190" priority="177">
      <formula>OR(IF(CU20&lt;CV20,TRUE),IF(AND(CV20="",CU20&lt;&gt;""),TRUE))</formula>
    </cfRule>
    <cfRule type="expression" dxfId="189" priority="178">
      <formula>IF(CU20&gt;=CV20,IF(CU20="",FALSE,TRUE))</formula>
    </cfRule>
  </conditionalFormatting>
  <conditionalFormatting sqref="CW20">
    <cfRule type="expression" dxfId="188" priority="175">
      <formula>OR(IF(CW20&lt;CX20,TRUE),IF(AND(CX20="",CW20&lt;&gt;""),TRUE))</formula>
    </cfRule>
    <cfRule type="expression" dxfId="187" priority="176">
      <formula>IF(CW20&gt;=CX20,IF(CW20="",FALSE,TRUE))</formula>
    </cfRule>
  </conditionalFormatting>
  <conditionalFormatting sqref="CU36:CU37">
    <cfRule type="expression" dxfId="186" priority="173">
      <formula>OR(IF(CU36&lt;CV36,TRUE),IF(AND(CV36="",CU36&lt;&gt;""),TRUE))</formula>
    </cfRule>
    <cfRule type="expression" dxfId="185" priority="174">
      <formula>IF(CU36&gt;=CV36,IF(CU36="",FALSE,TRUE))</formula>
    </cfRule>
  </conditionalFormatting>
  <conditionalFormatting sqref="CW36:CW37">
    <cfRule type="expression" dxfId="184" priority="171">
      <formula>OR(IF(CW36&lt;CX36,TRUE),IF(AND(CX36="",CW36&lt;&gt;""),TRUE))</formula>
    </cfRule>
    <cfRule type="expression" dxfId="183" priority="172">
      <formula>IF(CW36&gt;=CX36,IF(CW36="",FALSE,TRUE))</formula>
    </cfRule>
  </conditionalFormatting>
  <conditionalFormatting sqref="CU14 CW14">
    <cfRule type="expression" dxfId="182" priority="169">
      <formula>OR(IF(CU14&lt;CV14,TRUE),IF(AND(CV14="",CU14&lt;&gt;""),TRUE))</formula>
    </cfRule>
    <cfRule type="expression" dxfId="181" priority="170">
      <formula>IF(CU14&gt;=CV14,IF(CU14="",FALSE,TRUE))</formula>
    </cfRule>
  </conditionalFormatting>
  <conditionalFormatting sqref="CW15 CU15">
    <cfRule type="expression" dxfId="180" priority="167">
      <formula>OR(IF(CU15&lt;CV15,TRUE),IF(AND(CV15="",CU15&lt;&gt;""),TRUE))</formula>
    </cfRule>
    <cfRule type="expression" dxfId="179" priority="168">
      <formula>IF(CU15&gt;=CV15,IF(CU15="",FALSE,TRUE))</formula>
    </cfRule>
  </conditionalFormatting>
  <conditionalFormatting sqref="DB5:DB10 DD5:DD10 DD25:DD33 DB25:DB33 DD38:DD42 DB38:DB42 DD45:DD54 DB45:DB54">
    <cfRule type="expression" dxfId="178" priority="165">
      <formula>OR(IF(DB5&lt;DC5,TRUE),IF(AND(DC5="",DB5&lt;&gt;""),TRUE))</formula>
    </cfRule>
    <cfRule type="expression" dxfId="177" priority="166">
      <formula>IF(DB5&gt;=DC5,IF(DB5="",FALSE,TRUE))</formula>
    </cfRule>
  </conditionalFormatting>
  <conditionalFormatting sqref="DB13 DD13 DD16:DD19 DB16:DB19">
    <cfRule type="expression" dxfId="176" priority="163">
      <formula>OR(IF(DB13&lt;DC13,TRUE),IF(AND(DC13="",DB13&lt;&gt;""),TRUE))</formula>
    </cfRule>
    <cfRule type="expression" dxfId="175" priority="164">
      <formula>IF(DB13&gt;=DC13,IF(DB13="",FALSE,TRUE))</formula>
    </cfRule>
  </conditionalFormatting>
  <conditionalFormatting sqref="DB23:DB24">
    <cfRule type="expression" dxfId="174" priority="161">
      <formula>OR(IF(DB23&lt;DC23,TRUE),IF(AND(DC23="",DB23&lt;&gt;""),TRUE))</formula>
    </cfRule>
    <cfRule type="expression" dxfId="173" priority="162">
      <formula>IF(DB23&gt;=DC23,IF(DB23="",FALSE,TRUE))</formula>
    </cfRule>
  </conditionalFormatting>
  <conditionalFormatting sqref="DD23:DD24">
    <cfRule type="expression" dxfId="172" priority="159">
      <formula>OR(IF(DD23&lt;DE23,TRUE),IF(AND(DE23="",DD23&lt;&gt;""),TRUE))</formula>
    </cfRule>
    <cfRule type="expression" dxfId="171" priority="160">
      <formula>IF(DD23&gt;=DE23,IF(DD23="",FALSE,TRUE))</formula>
    </cfRule>
  </conditionalFormatting>
  <conditionalFormatting sqref="DB20">
    <cfRule type="expression" dxfId="170" priority="157">
      <formula>OR(IF(DB20&lt;DC20,TRUE),IF(AND(DC20="",DB20&lt;&gt;""),TRUE))</formula>
    </cfRule>
    <cfRule type="expression" dxfId="169" priority="158">
      <formula>IF(DB20&gt;=DC20,IF(DB20="",FALSE,TRUE))</formula>
    </cfRule>
  </conditionalFormatting>
  <conditionalFormatting sqref="DD20">
    <cfRule type="expression" dxfId="168" priority="155">
      <formula>OR(IF(DD20&lt;DE20,TRUE),IF(AND(DE20="",DD20&lt;&gt;""),TRUE))</formula>
    </cfRule>
    <cfRule type="expression" dxfId="167" priority="156">
      <formula>IF(DD20&gt;=DE20,IF(DD20="",FALSE,TRUE))</formula>
    </cfRule>
  </conditionalFormatting>
  <conditionalFormatting sqref="DB36:DB37">
    <cfRule type="expression" dxfId="166" priority="153">
      <formula>OR(IF(DB36&lt;DC36,TRUE),IF(AND(DC36="",DB36&lt;&gt;""),TRUE))</formula>
    </cfRule>
    <cfRule type="expression" dxfId="165" priority="154">
      <formula>IF(DB36&gt;=DC36,IF(DB36="",FALSE,TRUE))</formula>
    </cfRule>
  </conditionalFormatting>
  <conditionalFormatting sqref="DD36:DD37">
    <cfRule type="expression" dxfId="164" priority="151">
      <formula>OR(IF(DD36&lt;DE36,TRUE),IF(AND(DE36="",DD36&lt;&gt;""),TRUE))</formula>
    </cfRule>
    <cfRule type="expression" dxfId="163" priority="152">
      <formula>IF(DD36&gt;=DE36,IF(DD36="",FALSE,TRUE))</formula>
    </cfRule>
  </conditionalFormatting>
  <conditionalFormatting sqref="DB14 DD14">
    <cfRule type="expression" dxfId="162" priority="149">
      <formula>OR(IF(DB14&lt;DC14,TRUE),IF(AND(DC14="",DB14&lt;&gt;""),TRUE))</formula>
    </cfRule>
    <cfRule type="expression" dxfId="161" priority="150">
      <formula>IF(DB14&gt;=DC14,IF(DB14="",FALSE,TRUE))</formula>
    </cfRule>
  </conditionalFormatting>
  <conditionalFormatting sqref="DD15 DB15">
    <cfRule type="expression" dxfId="160" priority="147">
      <formula>OR(IF(DB15&lt;DC15,TRUE),IF(AND(DC15="",DB15&lt;&gt;""),TRUE))</formula>
    </cfRule>
    <cfRule type="expression" dxfId="159" priority="148">
      <formula>IF(DB15&gt;=DC15,IF(DB15="",FALSE,TRUE))</formula>
    </cfRule>
  </conditionalFormatting>
  <conditionalFormatting sqref="CB10">
    <cfRule type="expression" dxfId="158" priority="899">
      <formula>OR(IF(CB10&lt;CC10,TRUE),IF(AND(CC10="",CB10&lt;&gt;""),TRUE))</formula>
    </cfRule>
    <cfRule type="expression" dxfId="157" priority="900">
      <formula>IF(CB10&gt;=CC10,IF(CB10="",FALSE,TRUE))</formula>
    </cfRule>
  </conditionalFormatting>
  <conditionalFormatting sqref="CB9">
    <cfRule type="expression" dxfId="156" priority="145">
      <formula>OR(IF(CB9&lt;CC9,TRUE),IF(AND(CC9="",CB9&lt;&gt;""),TRUE))</formula>
    </cfRule>
    <cfRule type="expression" dxfId="155" priority="146">
      <formula>IF(CB9&gt;=CC9,IF(CB9="",FALSE,TRUE))</formula>
    </cfRule>
  </conditionalFormatting>
  <conditionalFormatting sqref="Q57:Q66 O57:O66 X57:X66 V57:V66 AE57:AE66 AC57:AC66 AJ57:AJ66 AL57:AL66 AS57:AS66 AQ57:AQ66 AX57:AX66 AZ57:AZ66 BG57:BG66 BE57:BE66 BN57:BN66 BL57:BL66">
    <cfRule type="expression" dxfId="154" priority="140">
      <formula>OR(IF(O57&lt;P57,TRUE),IF(AND(P57="",O57&lt;&gt;""),TRUE))</formula>
    </cfRule>
    <cfRule type="expression" dxfId="153" priority="141">
      <formula>IF(O57&gt;=P57,IF(O57="",FALSE,TRUE))</formula>
    </cfRule>
  </conditionalFormatting>
  <conditionalFormatting sqref="J58:K66">
    <cfRule type="colorScale" priority="142">
      <colorScale>
        <cfvo type="percent" val="0"/>
        <cfvo type="percent" val="100"/>
        <color rgb="FFFF231B"/>
        <color rgb="FF10FF07"/>
      </colorScale>
    </cfRule>
  </conditionalFormatting>
  <conditionalFormatting sqref="J57:J66">
    <cfRule type="colorScale" priority="143">
      <colorScale>
        <cfvo type="percent" val="0"/>
        <cfvo type="percent" val="100"/>
        <color rgb="FFFF231B"/>
        <color rgb="FF10FF07"/>
      </colorScale>
    </cfRule>
  </conditionalFormatting>
  <conditionalFormatting sqref="K57:K66">
    <cfRule type="colorScale" priority="144">
      <colorScale>
        <cfvo type="percent" val="0"/>
        <cfvo type="percent" val="100"/>
        <color rgb="FFFF231B"/>
        <color rgb="FF10FF07"/>
      </colorScale>
    </cfRule>
  </conditionalFormatting>
  <conditionalFormatting sqref="BU57:BU66 BS57:BS66">
    <cfRule type="expression" dxfId="152" priority="138">
      <formula>OR(IF(BS57&lt;BT57,TRUE),IF(AND(BT57="",BS57&lt;&gt;""),TRUE))</formula>
    </cfRule>
    <cfRule type="expression" dxfId="151" priority="139">
      <formula>IF(BS57&gt;=BT57,IF(BS57="",FALSE,TRUE))</formula>
    </cfRule>
  </conditionalFormatting>
  <conditionalFormatting sqref="CB57:CB66 BZ57:BZ66">
    <cfRule type="expression" dxfId="150" priority="136">
      <formula>OR(IF(BZ57&lt;CA57,TRUE),IF(AND(CA57="",BZ57&lt;&gt;""),TRUE))</formula>
    </cfRule>
    <cfRule type="expression" dxfId="149" priority="137">
      <formula>IF(BZ57&gt;=CA57,IF(BZ57="",FALSE,TRUE))</formula>
    </cfRule>
  </conditionalFormatting>
  <conditionalFormatting sqref="CI57:CI66 CG57:CG66">
    <cfRule type="expression" dxfId="148" priority="134">
      <formula>OR(IF(CG57&lt;CH57,TRUE),IF(AND(CH57="",CG57&lt;&gt;""),TRUE))</formula>
    </cfRule>
    <cfRule type="expression" dxfId="147" priority="135">
      <formula>IF(CG57&gt;=CH57,IF(CG57="",FALSE,TRUE))</formula>
    </cfRule>
  </conditionalFormatting>
  <conditionalFormatting sqref="CP57:CP66 CN57:CN66">
    <cfRule type="expression" dxfId="146" priority="132">
      <formula>OR(IF(CN57&lt;CO57,TRUE),IF(AND(CO57="",CN57&lt;&gt;""),TRUE))</formula>
    </cfRule>
    <cfRule type="expression" dxfId="145" priority="133">
      <formula>IF(CN57&gt;=CO57,IF(CN57="",FALSE,TRUE))</formula>
    </cfRule>
  </conditionalFormatting>
  <conditionalFormatting sqref="CW57:CW66 CU57:CU66">
    <cfRule type="expression" dxfId="144" priority="130">
      <formula>OR(IF(CU57&lt;CV57,TRUE),IF(AND(CV57="",CU57&lt;&gt;""),TRUE))</formula>
    </cfRule>
    <cfRule type="expression" dxfId="143" priority="131">
      <formula>IF(CU57&gt;=CV57,IF(CU57="",FALSE,TRUE))</formula>
    </cfRule>
  </conditionalFormatting>
  <conditionalFormatting sqref="DD57:DD66 DB57:DB66">
    <cfRule type="expression" dxfId="142" priority="128">
      <formula>OR(IF(DB57&lt;DC57,TRUE),IF(AND(DC57="",DB57&lt;&gt;""),TRUE))</formula>
    </cfRule>
    <cfRule type="expression" dxfId="141" priority="129">
      <formula>IF(DB57&gt;=DC57,IF(DB57="",FALSE,TRUE))</formula>
    </cfRule>
  </conditionalFormatting>
  <conditionalFormatting sqref="Q69:Q78 O69:O78 X69:X78 V69:V78 AE69:AE78 AC69:AC78 AJ69:AJ78 AL69:AL78 AS69:AS78 AQ69:AQ78 AX69:AX78 AZ69:AZ78 BG69:BG78 BE69:BE78 BN69:BN78 BL69:BL78">
    <cfRule type="expression" dxfId="140" priority="123">
      <formula>OR(IF(O69&lt;P69,TRUE),IF(AND(P69="",O69&lt;&gt;""),TRUE))</formula>
    </cfRule>
    <cfRule type="expression" dxfId="139" priority="124">
      <formula>IF(O69&gt;=P69,IF(O69="",FALSE,TRUE))</formula>
    </cfRule>
  </conditionalFormatting>
  <conditionalFormatting sqref="J70:K78">
    <cfRule type="colorScale" priority="125">
      <colorScale>
        <cfvo type="percent" val="0"/>
        <cfvo type="percent" val="100"/>
        <color rgb="FFFF231B"/>
        <color rgb="FF10FF07"/>
      </colorScale>
    </cfRule>
  </conditionalFormatting>
  <conditionalFormatting sqref="J69:J78">
    <cfRule type="colorScale" priority="126">
      <colorScale>
        <cfvo type="percent" val="0"/>
        <cfvo type="percent" val="100"/>
        <color rgb="FFFF231B"/>
        <color rgb="FF10FF07"/>
      </colorScale>
    </cfRule>
  </conditionalFormatting>
  <conditionalFormatting sqref="K69:K78">
    <cfRule type="colorScale" priority="127">
      <colorScale>
        <cfvo type="percent" val="0"/>
        <cfvo type="percent" val="100"/>
        <color rgb="FFFF231B"/>
        <color rgb="FF10FF07"/>
      </colorScale>
    </cfRule>
  </conditionalFormatting>
  <conditionalFormatting sqref="BU69:BU78 BS69:BS78">
    <cfRule type="expression" dxfId="138" priority="121">
      <formula>OR(IF(BS69&lt;BT69,TRUE),IF(AND(BT69="",BS69&lt;&gt;""),TRUE))</formula>
    </cfRule>
    <cfRule type="expression" dxfId="137" priority="122">
      <formula>IF(BS69&gt;=BT69,IF(BS69="",FALSE,TRUE))</formula>
    </cfRule>
  </conditionalFormatting>
  <conditionalFormatting sqref="CB69:CB78 BZ69:BZ78">
    <cfRule type="expression" dxfId="136" priority="119">
      <formula>OR(IF(BZ69&lt;CA69,TRUE),IF(AND(CA69="",BZ69&lt;&gt;""),TRUE))</formula>
    </cfRule>
    <cfRule type="expression" dxfId="135" priority="120">
      <formula>IF(BZ69&gt;=CA69,IF(BZ69="",FALSE,TRUE))</formula>
    </cfRule>
  </conditionalFormatting>
  <conditionalFormatting sqref="CI69:CI78 CG69:CG78">
    <cfRule type="expression" dxfId="134" priority="117">
      <formula>OR(IF(CG69&lt;CH69,TRUE),IF(AND(CH69="",CG69&lt;&gt;""),TRUE))</formula>
    </cfRule>
    <cfRule type="expression" dxfId="133" priority="118">
      <formula>IF(CG69&gt;=CH69,IF(CG69="",FALSE,TRUE))</formula>
    </cfRule>
  </conditionalFormatting>
  <conditionalFormatting sqref="CP69:CP78 CN69:CN78">
    <cfRule type="expression" dxfId="132" priority="115">
      <formula>OR(IF(CN69&lt;CO69,TRUE),IF(AND(CO69="",CN69&lt;&gt;""),TRUE))</formula>
    </cfRule>
    <cfRule type="expression" dxfId="131" priority="116">
      <formula>IF(CN69&gt;=CO69,IF(CN69="",FALSE,TRUE))</formula>
    </cfRule>
  </conditionalFormatting>
  <conditionalFormatting sqref="CW69:CW78 CU69:CU78">
    <cfRule type="expression" dxfId="130" priority="113">
      <formula>OR(IF(CU69&lt;CV69,TRUE),IF(AND(CV69="",CU69&lt;&gt;""),TRUE))</formula>
    </cfRule>
    <cfRule type="expression" dxfId="129" priority="114">
      <formula>IF(CU69&gt;=CV69,IF(CU69="",FALSE,TRUE))</formula>
    </cfRule>
  </conditionalFormatting>
  <conditionalFormatting sqref="DD69:DD78 DB69:DB78">
    <cfRule type="expression" dxfId="128" priority="111">
      <formula>OR(IF(DB69&lt;DC69,TRUE),IF(AND(DC69="",DB69&lt;&gt;""),TRUE))</formula>
    </cfRule>
    <cfRule type="expression" dxfId="127" priority="112">
      <formula>IF(DB69&gt;=DC69,IF(DB69="",FALSE,TRUE))</formula>
    </cfRule>
  </conditionalFormatting>
  <conditionalFormatting sqref="DI5:DI10 DK5:DK10 DK25:DK33 DI25:DI33 DK38:DK42 DI38:DI42 DK45:DK54 DI45:DI54">
    <cfRule type="expression" dxfId="126" priority="109">
      <formula>OR(IF(DI5&lt;DJ5,TRUE),IF(AND(DJ5="",DI5&lt;&gt;""),TRUE))</formula>
    </cfRule>
    <cfRule type="expression" dxfId="125" priority="110">
      <formula>IF(DI5&gt;=DJ5,IF(DI5="",FALSE,TRUE))</formula>
    </cfRule>
  </conditionalFormatting>
  <conditionalFormatting sqref="DI13 DK13 DK16:DK19 DI16:DI19">
    <cfRule type="expression" dxfId="124" priority="107">
      <formula>OR(IF(DI13&lt;DJ13,TRUE),IF(AND(DJ13="",DI13&lt;&gt;""),TRUE))</formula>
    </cfRule>
    <cfRule type="expression" dxfId="123" priority="108">
      <formula>IF(DI13&gt;=DJ13,IF(DI13="",FALSE,TRUE))</formula>
    </cfRule>
  </conditionalFormatting>
  <conditionalFormatting sqref="DI23:DI24">
    <cfRule type="expression" dxfId="122" priority="105">
      <formula>OR(IF(DI23&lt;DJ23,TRUE),IF(AND(DJ23="",DI23&lt;&gt;""),TRUE))</formula>
    </cfRule>
    <cfRule type="expression" dxfId="121" priority="106">
      <formula>IF(DI23&gt;=DJ23,IF(DI23="",FALSE,TRUE))</formula>
    </cfRule>
  </conditionalFormatting>
  <conditionalFormatting sqref="DK23:DK24">
    <cfRule type="expression" dxfId="120" priority="103">
      <formula>OR(IF(DK23&lt;DL23,TRUE),IF(AND(DL23="",DK23&lt;&gt;""),TRUE))</formula>
    </cfRule>
    <cfRule type="expression" dxfId="119" priority="104">
      <formula>IF(DK23&gt;=DL23,IF(DK23="",FALSE,TRUE))</formula>
    </cfRule>
  </conditionalFormatting>
  <conditionalFormatting sqref="DI20">
    <cfRule type="expression" dxfId="118" priority="101">
      <formula>OR(IF(DI20&lt;DJ20,TRUE),IF(AND(DJ20="",DI20&lt;&gt;""),TRUE))</formula>
    </cfRule>
    <cfRule type="expression" dxfId="117" priority="102">
      <formula>IF(DI20&gt;=DJ20,IF(DI20="",FALSE,TRUE))</formula>
    </cfRule>
  </conditionalFormatting>
  <conditionalFormatting sqref="DK20">
    <cfRule type="expression" dxfId="116" priority="99">
      <formula>OR(IF(DK20&lt;DL20,TRUE),IF(AND(DL20="",DK20&lt;&gt;""),TRUE))</formula>
    </cfRule>
    <cfRule type="expression" dxfId="115" priority="100">
      <formula>IF(DK20&gt;=DL20,IF(DK20="",FALSE,TRUE))</formula>
    </cfRule>
  </conditionalFormatting>
  <conditionalFormatting sqref="DI36:DI37">
    <cfRule type="expression" dxfId="114" priority="97">
      <formula>OR(IF(DI36&lt;DJ36,TRUE),IF(AND(DJ36="",DI36&lt;&gt;""),TRUE))</formula>
    </cfRule>
    <cfRule type="expression" dxfId="113" priority="98">
      <formula>IF(DI36&gt;=DJ36,IF(DI36="",FALSE,TRUE))</formula>
    </cfRule>
  </conditionalFormatting>
  <conditionalFormatting sqref="DK36:DK37">
    <cfRule type="expression" dxfId="112" priority="95">
      <formula>OR(IF(DK36&lt;DL36,TRUE),IF(AND(DL36="",DK36&lt;&gt;""),TRUE))</formula>
    </cfRule>
    <cfRule type="expression" dxfId="111" priority="96">
      <formula>IF(DK36&gt;=DL36,IF(DK36="",FALSE,TRUE))</formula>
    </cfRule>
  </conditionalFormatting>
  <conditionalFormatting sqref="DI14 DK14">
    <cfRule type="expression" dxfId="110" priority="93">
      <formula>OR(IF(DI14&lt;DJ14,TRUE),IF(AND(DJ14="",DI14&lt;&gt;""),TRUE))</formula>
    </cfRule>
    <cfRule type="expression" dxfId="109" priority="94">
      <formula>IF(DI14&gt;=DJ14,IF(DI14="",FALSE,TRUE))</formula>
    </cfRule>
  </conditionalFormatting>
  <conditionalFormatting sqref="DK15 DI15">
    <cfRule type="expression" dxfId="108" priority="91">
      <formula>OR(IF(DI15&lt;DJ15,TRUE),IF(AND(DJ15="",DI15&lt;&gt;""),TRUE))</formula>
    </cfRule>
    <cfRule type="expression" dxfId="107" priority="92">
      <formula>IF(DI15&gt;=DJ15,IF(DI15="",FALSE,TRUE))</formula>
    </cfRule>
  </conditionalFormatting>
  <conditionalFormatting sqref="DK57:DK66 DI57:DI66">
    <cfRule type="expression" dxfId="106" priority="89">
      <formula>OR(IF(DI57&lt;DJ57,TRUE),IF(AND(DJ57="",DI57&lt;&gt;""),TRUE))</formula>
    </cfRule>
    <cfRule type="expression" dxfId="105" priority="90">
      <formula>IF(DI57&gt;=DJ57,IF(DI57="",FALSE,TRUE))</formula>
    </cfRule>
  </conditionalFormatting>
  <conditionalFormatting sqref="DP5:DP10 DR5:DR10 DR25:DR33 DP25:DP33 DR38:DR42 DP38:DP42 DR45:DR54 DP45:DP54">
    <cfRule type="expression" dxfId="87" priority="87">
      <formula>OR(IF(DP5&lt;DQ5,TRUE),IF(AND(DQ5="",DP5&lt;&gt;""),TRUE))</formula>
    </cfRule>
    <cfRule type="expression" dxfId="86" priority="88">
      <formula>IF(DP5&gt;=DQ5,IF(DP5="",FALSE,TRUE))</formula>
    </cfRule>
  </conditionalFormatting>
  <conditionalFormatting sqref="DP13 DR13 DR16:DR19 DP16:DP19">
    <cfRule type="expression" dxfId="85" priority="85">
      <formula>OR(IF(DP13&lt;DQ13,TRUE),IF(AND(DQ13="",DP13&lt;&gt;""),TRUE))</formula>
    </cfRule>
    <cfRule type="expression" dxfId="84" priority="86">
      <formula>IF(DP13&gt;=DQ13,IF(DP13="",FALSE,TRUE))</formula>
    </cfRule>
  </conditionalFormatting>
  <conditionalFormatting sqref="DP23:DP24">
    <cfRule type="expression" dxfId="83" priority="83">
      <formula>OR(IF(DP23&lt;DQ23,TRUE),IF(AND(DQ23="",DP23&lt;&gt;""),TRUE))</formula>
    </cfRule>
    <cfRule type="expression" dxfId="82" priority="84">
      <formula>IF(DP23&gt;=DQ23,IF(DP23="",FALSE,TRUE))</formula>
    </cfRule>
  </conditionalFormatting>
  <conditionalFormatting sqref="DR23:DR24">
    <cfRule type="expression" dxfId="81" priority="81">
      <formula>OR(IF(DR23&lt;DS23,TRUE),IF(AND(DS23="",DR23&lt;&gt;""),TRUE))</formula>
    </cfRule>
    <cfRule type="expression" dxfId="80" priority="82">
      <formula>IF(DR23&gt;=DS23,IF(DR23="",FALSE,TRUE))</formula>
    </cfRule>
  </conditionalFormatting>
  <conditionalFormatting sqref="DP20">
    <cfRule type="expression" dxfId="79" priority="79">
      <formula>OR(IF(DP20&lt;DQ20,TRUE),IF(AND(DQ20="",DP20&lt;&gt;""),TRUE))</formula>
    </cfRule>
    <cfRule type="expression" dxfId="78" priority="80">
      <formula>IF(DP20&gt;=DQ20,IF(DP20="",FALSE,TRUE))</formula>
    </cfRule>
  </conditionalFormatting>
  <conditionalFormatting sqref="DR20">
    <cfRule type="expression" dxfId="77" priority="77">
      <formula>OR(IF(DR20&lt;DS20,TRUE),IF(AND(DS20="",DR20&lt;&gt;""),TRUE))</formula>
    </cfRule>
    <cfRule type="expression" dxfId="76" priority="78">
      <formula>IF(DR20&gt;=DS20,IF(DR20="",FALSE,TRUE))</formula>
    </cfRule>
  </conditionalFormatting>
  <conditionalFormatting sqref="DP36:DP37">
    <cfRule type="expression" dxfId="75" priority="75">
      <formula>OR(IF(DP36&lt;DQ36,TRUE),IF(AND(DQ36="",DP36&lt;&gt;""),TRUE))</formula>
    </cfRule>
    <cfRule type="expression" dxfId="74" priority="76">
      <formula>IF(DP36&gt;=DQ36,IF(DP36="",FALSE,TRUE))</formula>
    </cfRule>
  </conditionalFormatting>
  <conditionalFormatting sqref="DR36:DR37">
    <cfRule type="expression" dxfId="73" priority="73">
      <formula>OR(IF(DR36&lt;DS36,TRUE),IF(AND(DS36="",DR36&lt;&gt;""),TRUE))</formula>
    </cfRule>
    <cfRule type="expression" dxfId="72" priority="74">
      <formula>IF(DR36&gt;=DS36,IF(DR36="",FALSE,TRUE))</formula>
    </cfRule>
  </conditionalFormatting>
  <conditionalFormatting sqref="DP14 DR14">
    <cfRule type="expression" dxfId="71" priority="71">
      <formula>OR(IF(DP14&lt;DQ14,TRUE),IF(AND(DQ14="",DP14&lt;&gt;""),TRUE))</formula>
    </cfRule>
    <cfRule type="expression" dxfId="70" priority="72">
      <formula>IF(DP14&gt;=DQ14,IF(DP14="",FALSE,TRUE))</formula>
    </cfRule>
  </conditionalFormatting>
  <conditionalFormatting sqref="DR15 DP15">
    <cfRule type="expression" dxfId="69" priority="69">
      <formula>OR(IF(DP15&lt;DQ15,TRUE),IF(AND(DQ15="",DP15&lt;&gt;""),TRUE))</formula>
    </cfRule>
    <cfRule type="expression" dxfId="68" priority="70">
      <formula>IF(DP15&gt;=DQ15,IF(DP15="",FALSE,TRUE))</formula>
    </cfRule>
  </conditionalFormatting>
  <conditionalFormatting sqref="DR57:DR66 DP57:DP66">
    <cfRule type="expression" dxfId="67" priority="67">
      <formula>OR(IF(DP57&lt;DQ57,TRUE),IF(AND(DQ57="",DP57&lt;&gt;""),TRUE))</formula>
    </cfRule>
    <cfRule type="expression" dxfId="66" priority="68">
      <formula>IF(DP57&gt;=DQ57,IF(DP57="",FALSE,TRUE))</formula>
    </cfRule>
  </conditionalFormatting>
  <conditionalFormatting sqref="DW5:DW10 DY5:DY10 DY25:DY33 DW25:DW33 DY38:DY42 DW38:DW42 DY45:DY54 DW45:DW54">
    <cfRule type="expression" dxfId="65" priority="65">
      <formula>OR(IF(DW5&lt;DX5,TRUE),IF(AND(DX5="",DW5&lt;&gt;""),TRUE))</formula>
    </cfRule>
    <cfRule type="expression" dxfId="64" priority="66">
      <formula>IF(DW5&gt;=DX5,IF(DW5="",FALSE,TRUE))</formula>
    </cfRule>
  </conditionalFormatting>
  <conditionalFormatting sqref="DW13 DY13 DY16:DY19 DW16:DW19">
    <cfRule type="expression" dxfId="63" priority="63">
      <formula>OR(IF(DW13&lt;DX13,TRUE),IF(AND(DX13="",DW13&lt;&gt;""),TRUE))</formula>
    </cfRule>
    <cfRule type="expression" dxfId="62" priority="64">
      <formula>IF(DW13&gt;=DX13,IF(DW13="",FALSE,TRUE))</formula>
    </cfRule>
  </conditionalFormatting>
  <conditionalFormatting sqref="DW23:DW24">
    <cfRule type="expression" dxfId="61" priority="61">
      <formula>OR(IF(DW23&lt;DX23,TRUE),IF(AND(DX23="",DW23&lt;&gt;""),TRUE))</formula>
    </cfRule>
    <cfRule type="expression" dxfId="60" priority="62">
      <formula>IF(DW23&gt;=DX23,IF(DW23="",FALSE,TRUE))</formula>
    </cfRule>
  </conditionalFormatting>
  <conditionalFormatting sqref="DY23:DY24">
    <cfRule type="expression" dxfId="59" priority="59">
      <formula>OR(IF(DY23&lt;DZ23,TRUE),IF(AND(DZ23="",DY23&lt;&gt;""),TRUE))</formula>
    </cfRule>
    <cfRule type="expression" dxfId="58" priority="60">
      <formula>IF(DY23&gt;=DZ23,IF(DY23="",FALSE,TRUE))</formula>
    </cfRule>
  </conditionalFormatting>
  <conditionalFormatting sqref="DW20">
    <cfRule type="expression" dxfId="57" priority="57">
      <formula>OR(IF(DW20&lt;DX20,TRUE),IF(AND(DX20="",DW20&lt;&gt;""),TRUE))</formula>
    </cfRule>
    <cfRule type="expression" dxfId="56" priority="58">
      <formula>IF(DW20&gt;=DX20,IF(DW20="",FALSE,TRUE))</formula>
    </cfRule>
  </conditionalFormatting>
  <conditionalFormatting sqref="DY20">
    <cfRule type="expression" dxfId="55" priority="55">
      <formula>OR(IF(DY20&lt;DZ20,TRUE),IF(AND(DZ20="",DY20&lt;&gt;""),TRUE))</formula>
    </cfRule>
    <cfRule type="expression" dxfId="54" priority="56">
      <formula>IF(DY20&gt;=DZ20,IF(DY20="",FALSE,TRUE))</formula>
    </cfRule>
  </conditionalFormatting>
  <conditionalFormatting sqref="DW36:DW37">
    <cfRule type="expression" dxfId="53" priority="53">
      <formula>OR(IF(DW36&lt;DX36,TRUE),IF(AND(DX36="",DW36&lt;&gt;""),TRUE))</formula>
    </cfRule>
    <cfRule type="expression" dxfId="52" priority="54">
      <formula>IF(DW36&gt;=DX36,IF(DW36="",FALSE,TRUE))</formula>
    </cfRule>
  </conditionalFormatting>
  <conditionalFormatting sqref="DY36:DY37">
    <cfRule type="expression" dxfId="51" priority="51">
      <formula>OR(IF(DY36&lt;DZ36,TRUE),IF(AND(DZ36="",DY36&lt;&gt;""),TRUE))</formula>
    </cfRule>
    <cfRule type="expression" dxfId="50" priority="52">
      <formula>IF(DY36&gt;=DZ36,IF(DY36="",FALSE,TRUE))</formula>
    </cfRule>
  </conditionalFormatting>
  <conditionalFormatting sqref="DW14 DY14">
    <cfRule type="expression" dxfId="49" priority="49">
      <formula>OR(IF(DW14&lt;DX14,TRUE),IF(AND(DX14="",DW14&lt;&gt;""),TRUE))</formula>
    </cfRule>
    <cfRule type="expression" dxfId="48" priority="50">
      <formula>IF(DW14&gt;=DX14,IF(DW14="",FALSE,TRUE))</formula>
    </cfRule>
  </conditionalFormatting>
  <conditionalFormatting sqref="DY15 DW15">
    <cfRule type="expression" dxfId="47" priority="47">
      <formula>OR(IF(DW15&lt;DX15,TRUE),IF(AND(DX15="",DW15&lt;&gt;""),TRUE))</formula>
    </cfRule>
    <cfRule type="expression" dxfId="46" priority="48">
      <formula>IF(DW15&gt;=DX15,IF(DW15="",FALSE,TRUE))</formula>
    </cfRule>
  </conditionalFormatting>
  <conditionalFormatting sqref="DY57:DY66 DW57:DW66">
    <cfRule type="expression" dxfId="45" priority="45">
      <formula>OR(IF(DW57&lt;DX57,TRUE),IF(AND(DX57="",DW57&lt;&gt;""),TRUE))</formula>
    </cfRule>
    <cfRule type="expression" dxfId="44" priority="46">
      <formula>IF(DW57&gt;=DX57,IF(DW57="",FALSE,TRUE))</formula>
    </cfRule>
  </conditionalFormatting>
  <conditionalFormatting sqref="ED5:ED10 EF5:EF10 EF25:EF33 ED25:ED33 EF38:EF42 ED38:ED42 EF45:EF54 ED45:ED54">
    <cfRule type="expression" dxfId="43" priority="43">
      <formula>OR(IF(ED5&lt;EE5,TRUE),IF(AND(EE5="",ED5&lt;&gt;""),TRUE))</formula>
    </cfRule>
    <cfRule type="expression" dxfId="42" priority="44">
      <formula>IF(ED5&gt;=EE5,IF(ED5="",FALSE,TRUE))</formula>
    </cfRule>
  </conditionalFormatting>
  <conditionalFormatting sqref="ED13 EF13 EF16:EF19 ED16:ED19">
    <cfRule type="expression" dxfId="41" priority="41">
      <formula>OR(IF(ED13&lt;EE13,TRUE),IF(AND(EE13="",ED13&lt;&gt;""),TRUE))</formula>
    </cfRule>
    <cfRule type="expression" dxfId="40" priority="42">
      <formula>IF(ED13&gt;=EE13,IF(ED13="",FALSE,TRUE))</formula>
    </cfRule>
  </conditionalFormatting>
  <conditionalFormatting sqref="ED23:ED24">
    <cfRule type="expression" dxfId="39" priority="39">
      <formula>OR(IF(ED23&lt;EE23,TRUE),IF(AND(EE23="",ED23&lt;&gt;""),TRUE))</formula>
    </cfRule>
    <cfRule type="expression" dxfId="38" priority="40">
      <formula>IF(ED23&gt;=EE23,IF(ED23="",FALSE,TRUE))</formula>
    </cfRule>
  </conditionalFormatting>
  <conditionalFormatting sqref="EF23:EF24">
    <cfRule type="expression" dxfId="37" priority="37">
      <formula>OR(IF(EF23&lt;EG23,TRUE),IF(AND(EG23="",EF23&lt;&gt;""),TRUE))</formula>
    </cfRule>
    <cfRule type="expression" dxfId="36" priority="38">
      <formula>IF(EF23&gt;=EG23,IF(EF23="",FALSE,TRUE))</formula>
    </cfRule>
  </conditionalFormatting>
  <conditionalFormatting sqref="ED20">
    <cfRule type="expression" dxfId="35" priority="35">
      <formula>OR(IF(ED20&lt;EE20,TRUE),IF(AND(EE20="",ED20&lt;&gt;""),TRUE))</formula>
    </cfRule>
    <cfRule type="expression" dxfId="34" priority="36">
      <formula>IF(ED20&gt;=EE20,IF(ED20="",FALSE,TRUE))</formula>
    </cfRule>
  </conditionalFormatting>
  <conditionalFormatting sqref="EF20">
    <cfRule type="expression" dxfId="33" priority="33">
      <formula>OR(IF(EF20&lt;EG20,TRUE),IF(AND(EG20="",EF20&lt;&gt;""),TRUE))</formula>
    </cfRule>
    <cfRule type="expression" dxfId="32" priority="34">
      <formula>IF(EF20&gt;=EG20,IF(EF20="",FALSE,TRUE))</formula>
    </cfRule>
  </conditionalFormatting>
  <conditionalFormatting sqref="ED36:ED37">
    <cfRule type="expression" dxfId="31" priority="31">
      <formula>OR(IF(ED36&lt;EE36,TRUE),IF(AND(EE36="",ED36&lt;&gt;""),TRUE))</formula>
    </cfRule>
    <cfRule type="expression" dxfId="30" priority="32">
      <formula>IF(ED36&gt;=EE36,IF(ED36="",FALSE,TRUE))</formula>
    </cfRule>
  </conditionalFormatting>
  <conditionalFormatting sqref="EF36:EF37">
    <cfRule type="expression" dxfId="29" priority="29">
      <formula>OR(IF(EF36&lt;EG36,TRUE),IF(AND(EG36="",EF36&lt;&gt;""),TRUE))</formula>
    </cfRule>
    <cfRule type="expression" dxfId="28" priority="30">
      <formula>IF(EF36&gt;=EG36,IF(EF36="",FALSE,TRUE))</formula>
    </cfRule>
  </conditionalFormatting>
  <conditionalFormatting sqref="ED14 EF14">
    <cfRule type="expression" dxfId="27" priority="27">
      <formula>OR(IF(ED14&lt;EE14,TRUE),IF(AND(EE14="",ED14&lt;&gt;""),TRUE))</formula>
    </cfRule>
    <cfRule type="expression" dxfId="26" priority="28">
      <formula>IF(ED14&gt;=EE14,IF(ED14="",FALSE,TRUE))</formula>
    </cfRule>
  </conditionalFormatting>
  <conditionalFormatting sqref="EF15 ED15">
    <cfRule type="expression" dxfId="25" priority="25">
      <formula>OR(IF(ED15&lt;EE15,TRUE),IF(AND(EE15="",ED15&lt;&gt;""),TRUE))</formula>
    </cfRule>
    <cfRule type="expression" dxfId="24" priority="26">
      <formula>IF(ED15&gt;=EE15,IF(ED15="",FALSE,TRUE))</formula>
    </cfRule>
  </conditionalFormatting>
  <conditionalFormatting sqref="EF57:EF66 ED57:ED66">
    <cfRule type="expression" dxfId="23" priority="23">
      <formula>OR(IF(ED57&lt;EE57,TRUE),IF(AND(EE57="",ED57&lt;&gt;""),TRUE))</formula>
    </cfRule>
    <cfRule type="expression" dxfId="22" priority="24">
      <formula>IF(ED57&gt;=EE57,IF(ED57="",FALSE,TRUE))</formula>
    </cfRule>
  </conditionalFormatting>
  <conditionalFormatting sqref="EK5:EK10 EM5:EM10 EM25:EM33 EK25:EK33 EM38:EM42 EK38:EK42 EM45:EM54 EK45:EK54">
    <cfRule type="expression" dxfId="21" priority="21">
      <formula>OR(IF(EK5&lt;EL5,TRUE),IF(AND(EL5="",EK5&lt;&gt;""),TRUE))</formula>
    </cfRule>
    <cfRule type="expression" dxfId="20" priority="22">
      <formula>IF(EK5&gt;=EL5,IF(EK5="",FALSE,TRUE))</formula>
    </cfRule>
  </conditionalFormatting>
  <conditionalFormatting sqref="EK13 EM13 EM16:EM19 EK16:EK19">
    <cfRule type="expression" dxfId="19" priority="19">
      <formula>OR(IF(EK13&lt;EL13,TRUE),IF(AND(EL13="",EK13&lt;&gt;""),TRUE))</formula>
    </cfRule>
    <cfRule type="expression" dxfId="18" priority="20">
      <formula>IF(EK13&gt;=EL13,IF(EK13="",FALSE,TRUE))</formula>
    </cfRule>
  </conditionalFormatting>
  <conditionalFormatting sqref="EK23:EK24">
    <cfRule type="expression" dxfId="17" priority="17">
      <formula>OR(IF(EK23&lt;EL23,TRUE),IF(AND(EL23="",EK23&lt;&gt;""),TRUE))</formula>
    </cfRule>
    <cfRule type="expression" dxfId="16" priority="18">
      <formula>IF(EK23&gt;=EL23,IF(EK23="",FALSE,TRUE))</formula>
    </cfRule>
  </conditionalFormatting>
  <conditionalFormatting sqref="EM23:EM24">
    <cfRule type="expression" dxfId="15" priority="15">
      <formula>OR(IF(EM23&lt;EN23,TRUE),IF(AND(EN23="",EM23&lt;&gt;""),TRUE))</formula>
    </cfRule>
    <cfRule type="expression" dxfId="14" priority="16">
      <formula>IF(EM23&gt;=EN23,IF(EM23="",FALSE,TRUE))</formula>
    </cfRule>
  </conditionalFormatting>
  <conditionalFormatting sqref="EK20">
    <cfRule type="expression" dxfId="13" priority="13">
      <formula>OR(IF(EK20&lt;EL20,TRUE),IF(AND(EL20="",EK20&lt;&gt;""),TRUE))</formula>
    </cfRule>
    <cfRule type="expression" dxfId="12" priority="14">
      <formula>IF(EK20&gt;=EL20,IF(EK20="",FALSE,TRUE))</formula>
    </cfRule>
  </conditionalFormatting>
  <conditionalFormatting sqref="EM20">
    <cfRule type="expression" dxfId="11" priority="11">
      <formula>OR(IF(EM20&lt;EN20,TRUE),IF(AND(EN20="",EM20&lt;&gt;""),TRUE))</formula>
    </cfRule>
    <cfRule type="expression" dxfId="10" priority="12">
      <formula>IF(EM20&gt;=EN20,IF(EM20="",FALSE,TRUE))</formula>
    </cfRule>
  </conditionalFormatting>
  <conditionalFormatting sqref="EK36:EK37">
    <cfRule type="expression" dxfId="9" priority="9">
      <formula>OR(IF(EK36&lt;EL36,TRUE),IF(AND(EL36="",EK36&lt;&gt;""),TRUE))</formula>
    </cfRule>
    <cfRule type="expression" dxfId="8" priority="10">
      <formula>IF(EK36&gt;=EL36,IF(EK36="",FALSE,TRUE))</formula>
    </cfRule>
  </conditionalFormatting>
  <conditionalFormatting sqref="EM36:EM37">
    <cfRule type="expression" dxfId="7" priority="7">
      <formula>OR(IF(EM36&lt;EN36,TRUE),IF(AND(EN36="",EM36&lt;&gt;""),TRUE))</formula>
    </cfRule>
    <cfRule type="expression" dxfId="6" priority="8">
      <formula>IF(EM36&gt;=EN36,IF(EM36="",FALSE,TRUE))</formula>
    </cfRule>
  </conditionalFormatting>
  <conditionalFormatting sqref="EK14 EM14">
    <cfRule type="expression" dxfId="5" priority="5">
      <formula>OR(IF(EK14&lt;EL14,TRUE),IF(AND(EL14="",EK14&lt;&gt;""),TRUE))</formula>
    </cfRule>
    <cfRule type="expression" dxfId="4" priority="6">
      <formula>IF(EK14&gt;=EL14,IF(EK14="",FALSE,TRUE))</formula>
    </cfRule>
  </conditionalFormatting>
  <conditionalFormatting sqref="EM15 EK15">
    <cfRule type="expression" dxfId="3" priority="3">
      <formula>OR(IF(EK15&lt;EL15,TRUE),IF(AND(EL15="",EK15&lt;&gt;""),TRUE))</formula>
    </cfRule>
    <cfRule type="expression" dxfId="2" priority="4">
      <formula>IF(EK15&gt;=EL15,IF(EK15="",FALSE,TRUE))</formula>
    </cfRule>
  </conditionalFormatting>
  <conditionalFormatting sqref="EM57:EM66 EK57:EK66">
    <cfRule type="expression" dxfId="1" priority="1">
      <formula>OR(IF(EK57&lt;EL57,TRUE),IF(AND(EL57="",EK57&lt;&gt;""),TRUE))</formula>
    </cfRule>
    <cfRule type="expression" dxfId="0" priority="2">
      <formula>IF(EK57&gt;=EL57,IF(EK57="",FALSE,TRUE))</formula>
    </cfRule>
  </conditionalFormatting>
  <dataValidations count="1">
    <dataValidation type="list" allowBlank="1" showInputMessage="1" showErrorMessage="1" sqref="AJ45:AM54 V5:Y10 AC5:AF10 AJ5:AM10 AQ5:AT10 AX5:BA10 BE5:BH10 BL5:BO10 O5:R10 V13:Y20 AC13:AF20 AJ13:AM20 AQ13:AT20 AX13:BA20 BE13:BH20 BL13:BO20 BL23:BO33 O23:R33 AX23:BA33 CG45:CJ54 AQ23:AT33 AJ23:AM33 AC23:AF33 V23:Y33 BL36:BO42 O36:R42 AX36:BA42 BE36:BH42 AQ36:AT42 AJ36:AM42 AC36:AF42 V36:Y42 BL45:BO54 AX45:BA54 BE45:BH54 AQ45:AT54 AC45:AF54 V45:Y54 O45:R54 BS36:BV42 BZ5:CC10 BS5:BV10 BS23:BV33 BS45:BV54 BS13:BV20 BZ36:CC42 BZ23:CC33 BZ45:CC54 BE23:BH33 DB45:DE54 CG5:CJ10 CG23:CJ33 CG13:CJ20 CG36:CJ42 CN5:CQ10 CN13:CQ20 CN23:CQ33 CN36:CQ42 CN45:CQ54 CU5:CX10 CU13:CX20 CU23:CX33 CU36:CX42 CU45:CX54 DB5:DE10 DB13:DE20 DB23:DE33 DB36:DE42 BZ13:CC20 O13:R20 AJ57:AM66 CG57:CJ66 BL57:BO66 AX57:BA66 BE57:BH66 AQ57:AT66 AC57:AF66 V57:Y66 O57:R66 BS57:BV66 BZ57:CC66 DB57:DE66 CN57:CQ66 CU57:CX66 AJ69:AM78 CG69:CJ78 BL69:BO78 AX69:BA78 BE69:BH78 AQ69:AT78 AC69:AF78 V69:Y78 O69:R78 BS69:BV78 BZ69:CC78 DB69:DE78 CN69:CQ78 CU69:CX78 DI45:DL54 DI5:DL10 DI13:DL20 DI23:DL33 DI36:DL42 DI57:DL66 DP45:DS54 DP5:DS10 DP13:DS20 DP23:DS33 DP36:DS42 DP57:DS66 DW45:DZ54 DW5:DZ10 DW13:DZ20 DW23:DZ33 DW36:DZ42 DW57:DZ66 ED45:EG54 ED5:EG10 ED13:EG20 ED23:EG33 ED36:EG42 ED57:EG66 EK45:EN54 EK5:EN10 EK13:EN20 EK23:EN33 EK36:EN42 EK57:EN6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17</v>
      </c>
    </row>
    <row r="6" spans="2:2" x14ac:dyDescent="0.2">
      <c r="B6" s="2" t="s">
        <v>14</v>
      </c>
    </row>
    <row r="7" spans="2:2" ht="51" x14ac:dyDescent="0.2">
      <c r="B7" s="1" t="s">
        <v>15</v>
      </c>
    </row>
    <row r="9" spans="2:2" x14ac:dyDescent="0.2">
      <c r="B9" s="2" t="s">
        <v>16</v>
      </c>
    </row>
    <row r="10" spans="2:2" ht="68" x14ac:dyDescent="0.2">
      <c r="B10" s="1" t="s">
        <v>48</v>
      </c>
    </row>
    <row r="12" spans="2:2" x14ac:dyDescent="0.2">
      <c r="B12" s="2" t="s">
        <v>18</v>
      </c>
    </row>
    <row r="13" spans="2:2" ht="153" x14ac:dyDescent="0.2">
      <c r="B13" s="1" t="s">
        <v>19</v>
      </c>
    </row>
    <row r="15" spans="2:2" x14ac:dyDescent="0.2">
      <c r="B15" s="2" t="s">
        <v>20</v>
      </c>
    </row>
    <row r="16" spans="2:2" ht="119" x14ac:dyDescent="0.2">
      <c r="B16" s="1" t="s">
        <v>21</v>
      </c>
    </row>
    <row r="17" spans="2:2" x14ac:dyDescent="0.2">
      <c r="B17" s="1"/>
    </row>
    <row r="18" spans="2:2" x14ac:dyDescent="0.2">
      <c r="B18" s="2" t="s">
        <v>47</v>
      </c>
    </row>
    <row r="19" spans="2:2" ht="153" x14ac:dyDescent="0.2">
      <c r="B19" s="1" t="s">
        <v>49</v>
      </c>
    </row>
    <row r="21" spans="2:2" x14ac:dyDescent="0.2">
      <c r="B21" s="2" t="s">
        <v>22</v>
      </c>
    </row>
    <row r="22" spans="2:2" ht="136" x14ac:dyDescent="0.2">
      <c r="B22" s="1" t="s">
        <v>50</v>
      </c>
    </row>
    <row r="24" spans="2:2" x14ac:dyDescent="0.2">
      <c r="B24" s="2" t="s">
        <v>23</v>
      </c>
    </row>
    <row r="25" spans="2:2" ht="136" x14ac:dyDescent="0.2">
      <c r="B25" s="1"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60</v>
      </c>
      <c r="B1" s="15" t="s">
        <v>57</v>
      </c>
      <c r="C1" s="15" t="s">
        <v>58</v>
      </c>
      <c r="D1" s="15" t="s">
        <v>59</v>
      </c>
      <c r="E1" s="1" t="s">
        <v>61</v>
      </c>
      <c r="F1" s="1" t="s">
        <v>62</v>
      </c>
      <c r="G1" s="1" t="s">
        <v>63</v>
      </c>
      <c r="H1" s="1" t="s">
        <v>64</v>
      </c>
      <c r="I1" s="1" t="s">
        <v>65</v>
      </c>
      <c r="J1" s="1" t="s">
        <v>66</v>
      </c>
      <c r="K1" s="1" t="s">
        <v>67</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04" priority="14" operator="equal">
      <formula>"Ja"</formula>
    </cfRule>
    <cfRule type="cellIs" dxfId="103" priority="15" operator="equal">
      <formula>"Nein"</formula>
    </cfRule>
  </conditionalFormatting>
  <conditionalFormatting sqref="D2">
    <cfRule type="cellIs" dxfId="102" priority="6" operator="equal">
      <formula>1</formula>
    </cfRule>
    <cfRule type="cellIs" dxfId="101" priority="7" operator="equal">
      <formula>0.8</formula>
    </cfRule>
    <cfRule type="cellIs" dxfId="100" priority="8" operator="equal">
      <formula>0.6</formula>
    </cfRule>
    <cfRule type="cellIs" dxfId="99" priority="9" operator="equal">
      <formula>0.4</formula>
    </cfRule>
    <cfRule type="cellIs" dxfId="98" priority="10" operator="equal">
      <formula>0.2</formula>
    </cfRule>
    <cfRule type="cellIs" dxfId="97" priority="11" operator="equal">
      <formula>0</formula>
    </cfRule>
  </conditionalFormatting>
  <conditionalFormatting sqref="B2:B46">
    <cfRule type="cellIs" dxfId="96" priority="4" operator="equal">
      <formula>"Ja"</formula>
    </cfRule>
  </conditionalFormatting>
  <conditionalFormatting sqref="C2:C46">
    <cfRule type="cellIs" dxfId="95" priority="2" operator="equal">
      <formula>"Ja"</formula>
    </cfRule>
    <cfRule type="cellIs" dxfId="94" priority="3" operator="equal">
      <formula>"Nein"</formula>
    </cfRule>
  </conditionalFormatting>
  <conditionalFormatting sqref="C2:C46">
    <cfRule type="cellIs" dxfId="93"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2022-10-21T13:59:01Z</dcterms:modified>
</cp:coreProperties>
</file>