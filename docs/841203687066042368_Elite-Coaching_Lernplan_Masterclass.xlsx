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bambe\Desktop\"/>
    </mc:Choice>
  </mc:AlternateContent>
  <xr:revisionPtr revIDLastSave="0" documentId="13_ncr:1_{A62573B5-7B4D-40FB-9293-CFB4D34A903A}" xr6:coauthVersionLast="46" xr6:coauthVersionMax="46" xr10:uidLastSave="{00000000-0000-0000-0000-000000000000}"/>
  <bookViews>
    <workbookView xWindow="-108" yWindow="-108" windowWidth="23256" windowHeight="12576"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P30" i="7" l="1"/>
  <c r="AW30" i="7"/>
  <c r="N4" i="7"/>
  <c r="N16" i="7"/>
  <c r="N30" i="7"/>
  <c r="N40" i="7"/>
  <c r="N52" i="7"/>
  <c r="G40" i="7"/>
  <c r="BK52" i="7"/>
  <c r="BD52" i="7"/>
  <c r="AW52" i="7"/>
  <c r="BK30" i="7"/>
  <c r="BD30" i="7"/>
  <c r="BK16" i="7"/>
  <c r="BD16" i="7"/>
  <c r="AW16" i="7"/>
  <c r="AP16" i="7"/>
  <c r="AW40" i="7"/>
  <c r="AI16" i="7"/>
  <c r="AB16" i="7"/>
  <c r="U16" i="7"/>
  <c r="G4" i="7"/>
  <c r="G30" i="7"/>
  <c r="G16" i="7"/>
  <c r="J17" i="7"/>
  <c r="J18" i="7"/>
  <c r="J19" i="7"/>
  <c r="J20" i="7"/>
  <c r="J21" i="7"/>
  <c r="J22" i="7"/>
  <c r="J23" i="7"/>
  <c r="J24" i="7"/>
  <c r="J25" i="7"/>
  <c r="J26" i="7"/>
  <c r="J27" i="7"/>
  <c r="J28" i="7"/>
  <c r="K28" i="7"/>
  <c r="I28" i="7"/>
  <c r="K27" i="7"/>
  <c r="K26" i="7"/>
  <c r="K25" i="7"/>
  <c r="K24" i="7"/>
  <c r="K23" i="7"/>
  <c r="AI30" i="7"/>
  <c r="AB30" i="7"/>
  <c r="U30" i="7"/>
  <c r="K22" i="7"/>
  <c r="K21" i="7"/>
  <c r="K20" i="7"/>
  <c r="K32" i="7"/>
  <c r="J32" i="7"/>
  <c r="I32" i="7"/>
  <c r="K31" i="7"/>
  <c r="J31" i="7"/>
  <c r="I31" i="7"/>
  <c r="K33" i="7"/>
  <c r="J33" i="7"/>
  <c r="I33" i="7"/>
  <c r="BK40" i="7"/>
  <c r="BK4" i="7"/>
  <c r="BD4" i="7"/>
  <c r="BD40" i="7"/>
  <c r="K58" i="7"/>
  <c r="J58" i="7"/>
  <c r="I58" i="7"/>
  <c r="K57" i="7"/>
  <c r="J57" i="7"/>
  <c r="I57" i="7"/>
  <c r="K56" i="7"/>
  <c r="J56" i="7"/>
  <c r="I56" i="7"/>
  <c r="K55" i="7"/>
  <c r="J55" i="7"/>
  <c r="I55" i="7"/>
  <c r="K54" i="7"/>
  <c r="J54" i="7"/>
  <c r="I54" i="7"/>
  <c r="K53" i="7"/>
  <c r="J53" i="7"/>
  <c r="I53" i="7"/>
  <c r="AP52" i="7"/>
  <c r="AI52" i="7"/>
  <c r="AB52" i="7"/>
  <c r="U52" i="7"/>
  <c r="G52" i="7"/>
  <c r="K50" i="7"/>
  <c r="J50" i="7"/>
  <c r="I50" i="7"/>
  <c r="K49" i="7"/>
  <c r="J49" i="7"/>
  <c r="I49" i="7"/>
  <c r="K48" i="7"/>
  <c r="J48" i="7"/>
  <c r="I48" i="7"/>
  <c r="K47" i="7"/>
  <c r="J47" i="7"/>
  <c r="I47" i="7"/>
  <c r="K46" i="7"/>
  <c r="J46" i="7"/>
  <c r="I46" i="7"/>
  <c r="K45" i="7"/>
  <c r="J45" i="7"/>
  <c r="I45" i="7"/>
  <c r="K44" i="7"/>
  <c r="J44" i="7"/>
  <c r="I44" i="7"/>
  <c r="K43" i="7"/>
  <c r="J43" i="7"/>
  <c r="I43" i="7"/>
  <c r="K42" i="7"/>
  <c r="J42" i="7"/>
  <c r="I42" i="7"/>
  <c r="K41" i="7"/>
  <c r="J41" i="7"/>
  <c r="I41" i="7"/>
  <c r="AP40" i="7"/>
  <c r="AI40" i="7"/>
  <c r="AB40" i="7"/>
  <c r="U40" i="7"/>
  <c r="K17" i="7"/>
  <c r="K18" i="7"/>
  <c r="K19" i="7"/>
  <c r="I34" i="7"/>
  <c r="J34" i="7"/>
  <c r="K34" i="7"/>
  <c r="I35" i="7"/>
  <c r="J35" i="7"/>
  <c r="K35" i="7"/>
  <c r="I36" i="7"/>
  <c r="J36" i="7"/>
  <c r="K36" i="7"/>
  <c r="I37" i="7"/>
  <c r="J37" i="7"/>
  <c r="K37" i="7"/>
  <c r="I38" i="7"/>
  <c r="J38" i="7"/>
  <c r="K38" i="7"/>
  <c r="AW4" i="7"/>
  <c r="AP4" i="7"/>
  <c r="AI4" i="7"/>
  <c r="AB4" i="7"/>
  <c r="U4" i="7"/>
  <c r="I6" i="7"/>
  <c r="I7" i="7"/>
  <c r="I8" i="7"/>
  <c r="I9" i="7"/>
  <c r="I10" i="7"/>
  <c r="I11" i="7"/>
  <c r="I12" i="7"/>
  <c r="I13" i="7"/>
  <c r="I14" i="7"/>
  <c r="I5" i="7"/>
  <c r="J5" i="7"/>
  <c r="K6" i="7"/>
  <c r="K7" i="7"/>
  <c r="K8" i="7"/>
  <c r="K9" i="7"/>
  <c r="K10" i="7"/>
  <c r="K11" i="7"/>
  <c r="K12" i="7"/>
  <c r="K13" i="7"/>
  <c r="K14" i="7"/>
  <c r="J6" i="7"/>
  <c r="J7" i="7"/>
  <c r="J8" i="7"/>
  <c r="J9" i="7"/>
  <c r="J10" i="7"/>
  <c r="J11" i="7"/>
  <c r="J12" i="7"/>
  <c r="J13" i="7"/>
  <c r="J14" i="7"/>
  <c r="K5" i="7"/>
  <c r="I4" i="7" l="1"/>
  <c r="K4" i="7"/>
  <c r="J4" i="7"/>
  <c r="K16" i="7"/>
  <c r="I27" i="7"/>
  <c r="J16" i="7"/>
  <c r="I26" i="7"/>
  <c r="I40" i="7"/>
  <c r="K40" i="7"/>
  <c r="J40" i="7"/>
  <c r="K30" i="7"/>
  <c r="I30" i="7"/>
  <c r="J30" i="7"/>
  <c r="I52" i="7"/>
  <c r="K52" i="7"/>
  <c r="J52" i="7"/>
  <c r="I25" i="7" l="1"/>
  <c r="I24" i="7" l="1"/>
  <c r="I23" i="7" l="1"/>
  <c r="I22" i="7" l="1"/>
  <c r="I21" i="7" l="1"/>
  <c r="I20" i="7" l="1"/>
  <c r="I19" i="7" l="1"/>
  <c r="I18" i="7" l="1"/>
  <c r="I17" i="7" l="1"/>
  <c r="I16" i="7" s="1"/>
</calcChain>
</file>

<file path=xl/sharedStrings.xml><?xml version="1.0" encoding="utf-8"?>
<sst xmlns="http://schemas.openxmlformats.org/spreadsheetml/2006/main" count="259" uniqueCount="108">
  <si>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</si>
  <si>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</si>
  <si>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</si>
  <si>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</si>
  <si>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</si>
  <si>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</si>
  <si>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</si>
  <si>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</si>
  <si>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</si>
  <si>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</si>
  <si>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</si>
  <si>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</si>
  <si>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</si>
  <si>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</si>
  <si>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</si>
  <si>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</si>
  <si>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</si>
  <si>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</si>
  <si>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</si>
  <si>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</si>
  <si>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</si>
  <si>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</si>
  <si>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</si>
  <si>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</si>
  <si>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</si>
  <si>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</si>
  <si>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</si>
  <si>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</si>
  <si>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</si>
  <si>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</si>
  <si>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</si>
  <si>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</si>
  <si>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</si>
  <si>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</si>
  <si>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KW 19</t>
  </si>
  <si>
    <t>KW 20</t>
  </si>
  <si>
    <t>KW 21</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</si>
  <si>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</si>
  <si>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</si>
  <si>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</si>
  <si>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</si>
  <si>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</si>
  <si>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</si>
  <si>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Lerneinheiten durchgezogen</t>
  </si>
  <si>
    <t>Tagesplan erstellt</t>
  </si>
  <si>
    <t>Konzentrationslevel</t>
  </si>
  <si>
    <t>Datum</t>
  </si>
  <si>
    <t>Kcal</t>
  </si>
  <si>
    <t>Fette</t>
  </si>
  <si>
    <t>Eiweiss</t>
  </si>
  <si>
    <t>Kohlenhydrate</t>
  </si>
  <si>
    <t>Gewicht</t>
  </si>
  <si>
    <t>Sonstiges Gefühl</t>
  </si>
  <si>
    <t>Optimierungen</t>
  </si>
  <si>
    <t>KW 22 (Ang: Freitag)</t>
  </si>
  <si>
    <t>KW 25 (Mkt:Dienstag / IS:Samstag)</t>
  </si>
  <si>
    <t>KW 26 (Stat:Montag / Fin:Freitag)</t>
  </si>
  <si>
    <t>1) Kapitel</t>
  </si>
  <si>
    <t>2) Kapitel</t>
  </si>
  <si>
    <t>3) Kapitel</t>
  </si>
  <si>
    <t>4) Kapitel</t>
  </si>
  <si>
    <t>5) Kapitel</t>
  </si>
  <si>
    <t>6) Kapitel</t>
  </si>
  <si>
    <t>7) Kapitel</t>
  </si>
  <si>
    <t>8) Kapitel</t>
  </si>
  <si>
    <t>9) Kapitel</t>
  </si>
  <si>
    <t>10) Kapitel</t>
  </si>
  <si>
    <t>Finance</t>
  </si>
  <si>
    <t>Statistik</t>
  </si>
  <si>
    <t>Information Systems</t>
  </si>
  <si>
    <t>Angelsitik</t>
  </si>
  <si>
    <t xml:space="preserve">1) Corporate Investment and Financing Decisions </t>
  </si>
  <si>
    <t>2) How to calculate Present Value (NPV)</t>
  </si>
  <si>
    <t xml:space="preserve">3) Valuing Bonds </t>
  </si>
  <si>
    <t>4) The Value of Common Stock</t>
  </si>
  <si>
    <t>5) NPV and Other Investment Criteria</t>
  </si>
  <si>
    <t>6) Making Investment Decisions with NPV</t>
  </si>
  <si>
    <t xml:space="preserve">7) Introduction to Risk and Return </t>
  </si>
  <si>
    <t xml:space="preserve">8.1) Markowitz Portfolio Theory </t>
  </si>
  <si>
    <t>8.2) Capital Asset Pricing Model (CAPM)</t>
  </si>
  <si>
    <t>9) Risk and the Cost of Capital</t>
  </si>
  <si>
    <t xml:space="preserve">10) Project analysis </t>
  </si>
  <si>
    <t xml:space="preserve">11) Efficient Markets and Behavioural Finance </t>
  </si>
  <si>
    <t>1) Grundlagen der Wahrscheinlichkeitsrechnung</t>
  </si>
  <si>
    <t xml:space="preserve">2) Zufallsvariablen </t>
  </si>
  <si>
    <t xml:space="preserve">3) Spezielle Verteilung </t>
  </si>
  <si>
    <t xml:space="preserve">4) Kovarianz und Grenzwertsätze </t>
  </si>
  <si>
    <t>5) Parameterschätzung</t>
  </si>
  <si>
    <t>6) Testen von Hypothesen</t>
  </si>
  <si>
    <t xml:space="preserve">7) Spezielle Tests </t>
  </si>
  <si>
    <t>8) Lineare Regresseion</t>
  </si>
  <si>
    <t>1) Introduction &amp; Basics</t>
  </si>
  <si>
    <t xml:space="preserve">2) Technological Foundations </t>
  </si>
  <si>
    <t xml:space="preserve">3) Basic Database </t>
  </si>
  <si>
    <t>4) IT in Organization</t>
  </si>
  <si>
    <t xml:space="preserve">5) Requirements Engineering </t>
  </si>
  <si>
    <t>6) Design and Development</t>
  </si>
  <si>
    <t xml:space="preserve">8) Basics of Machine Learning </t>
  </si>
  <si>
    <t xml:space="preserve">7) IS Projects </t>
  </si>
  <si>
    <t>9) SQL</t>
  </si>
  <si>
    <t xml:space="preserve">10) Excel </t>
  </si>
  <si>
    <t>1) Media</t>
  </si>
  <si>
    <t>2) Current Topics</t>
  </si>
  <si>
    <t>3) Germany and the World</t>
  </si>
  <si>
    <t>4) Grammer and Vocab</t>
  </si>
  <si>
    <t>5) News Review</t>
  </si>
  <si>
    <t>6) Esssay Structure</t>
  </si>
  <si>
    <t>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</si>
</sst>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FFFF00"/>
      <name val="Calibri"/>
      <family val="2"/>
      <scheme val="minor"/>
    </font>
    <font>
      <sz val="12"/>
      <name val="Calibri"/>
      <family val="2"/>
      <scheme val="minor"/>
    </font>
  </fonts>
  <fills count="6">
    <fill>
      <patternFill patternType="none"/>
    </fill>
    <fill>
      <patternFill patternType="gray125"/>
    </fill>
    <fill>
      <patternFill patternType="solid">
        <fgColor rgb="FFE0E0E0"/>
        <bgColor indexed="64"/>
      </patternFill>
    </fill>
    <fill>
      <patternFill patternType="solid">
        <fgColor theme="0"/>
        <bgColor indexed="64"/>
      </patternFill>
    </fill>
    <fill>
      <patternFill patternType="solid">
        <fgColor rgb="FF0070C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3" borderId="0" xfId="0" applyFill="1"/>
    <xf numFmtId="0" fontId="6" fillId="4" borderId="0" xfId="0" applyFont="1" applyFill="1"/>
    <xf numFmtId="0" fontId="7" fillId="4" borderId="0" xfId="0" applyFont="1" applyFill="1"/>
    <xf numFmtId="0" fontId="0" fillId="5" borderId="0" xfId="0" applyFill="1"/>
    <xf numFmtId="0" fontId="1" fillId="2" borderId="0" xfId="0" applyFont="1" applyFill="1" applyAlignment="1">
      <alignment horizontal="center"/>
    </xf>
  </cellXfs>
  <cellStyles count="1">
    <cellStyle name="Standard" xfId="0" builtinId="0"/>
  </cellStyles>
  <dxfs count="16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58" totalsRowShown="0" headerRowDxfId="4">
  <autoFilter ref="A1:K58"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9921875" defaultRowHeight="15.6"/>
  <cols>
    <col min="2" max="2" width="161" customWidth="1"/>
    <col min="3" max="3" width="10.796875" style="2"/>
  </cols>
  <sheetData>
    <row r="4" spans="2:2" ht="21">
      <c r="B4" s="4" t="s">
        <v>17</v>
      </c>
    </row>
    <row r="6" spans="2:2">
      <c r="B6" s="3" t="s">
        <v>14</v>
      </c>
    </row>
    <row r="7" spans="2:2" ht="46.8">
      <c r="B7" s="1" t="s">
        <v>15</v>
      </c>
    </row>
    <row r="9" spans="2:2">
      <c r="B9" s="3" t="s">
        <v>16</v>
      </c>
    </row>
    <row r="10" spans="2:2" ht="62.4">
      <c r="B10" s="1" t="s">
        <v>38</v>
      </c>
    </row>
    <row r="12" spans="2:2">
      <c r="B12" s="3" t="s">
        <v>18</v>
      </c>
    </row>
    <row r="13" spans="2:2" ht="140.4">
      <c r="B13" s="1" t="s">
        <v>19</v>
      </c>
    </row>
    <row r="15" spans="2:2">
      <c r="B15" s="3" t="s">
        <v>20</v>
      </c>
    </row>
    <row r="16" spans="2:2" ht="109.2">
      <c r="B16" s="1" t="s">
        <v>21</v>
      </c>
    </row>
    <row r="17" spans="2:2">
      <c r="B17" s="1"/>
    </row>
    <row r="18" spans="2:2">
      <c r="B18" s="3" t="s">
        <v>37</v>
      </c>
    </row>
    <row r="19" spans="2:2" ht="140.4">
      <c r="B19" s="1" t="s">
        <v>39</v>
      </c>
    </row>
    <row r="21" spans="2:2">
      <c r="B21" s="3" t="s">
        <v>22</v>
      </c>
    </row>
    <row r="22" spans="2:2" ht="124.8">
      <c r="B22" s="1" t="s">
        <v>40</v>
      </c>
    </row>
    <row r="24" spans="2:2">
      <c r="B24" s="3" t="s">
        <v>23</v>
      </c>
    </row>
    <row r="25" spans="2:2" ht="124.8">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P58"/>
  <sheetViews>
    <sheetView showGridLines="0" tabSelected="1" topLeftCell="A28" zoomScale="70" zoomScaleNormal="70" workbookViewId="0">
      <pane xSplit="7" topLeftCell="AX1" activePane="topRight" state="frozen"/>
      <selection pane="topRight" activeCell="BD29" sqref="BD29"/>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s>
  <sheetData>
    <row r="1" spans="2:68" ht="33.6">
      <c r="B1" s="5" t="s">
        <v>0</v>
      </c>
      <c r="D1" s="5"/>
      <c r="G1" s="18"/>
      <c r="I1" s="18"/>
      <c r="J1" s="18"/>
      <c r="K1" s="18"/>
    </row>
    <row r="2" spans="2:68">
      <c r="I2" s="22" t="s">
        <v>28</v>
      </c>
      <c r="J2" s="22"/>
      <c r="K2" s="22"/>
      <c r="L2" s="22"/>
      <c r="N2" s="22" t="s">
        <v>34</v>
      </c>
      <c r="O2" s="22"/>
      <c r="P2" s="22"/>
      <c r="Q2" s="22"/>
      <c r="R2" s="22"/>
      <c r="S2" s="22"/>
      <c r="U2" s="22" t="s">
        <v>35</v>
      </c>
      <c r="V2" s="22"/>
      <c r="W2" s="22"/>
      <c r="X2" s="22"/>
      <c r="Y2" s="22"/>
      <c r="Z2" s="22"/>
      <c r="AB2" s="22" t="s">
        <v>36</v>
      </c>
      <c r="AC2" s="22"/>
      <c r="AD2" s="22"/>
      <c r="AE2" s="22"/>
      <c r="AF2" s="22"/>
      <c r="AG2" s="22"/>
      <c r="AI2" s="22" t="s">
        <v>54</v>
      </c>
      <c r="AJ2" s="22"/>
      <c r="AK2" s="22"/>
      <c r="AL2" s="22"/>
      <c r="AM2" s="22"/>
      <c r="AN2" s="22"/>
      <c r="AP2" s="22" t="s">
        <v>41</v>
      </c>
      <c r="AQ2" s="22"/>
      <c r="AR2" s="22"/>
      <c r="AS2" s="22"/>
      <c r="AT2" s="22"/>
      <c r="AU2" s="22"/>
      <c r="AW2" s="22" t="s">
        <v>42</v>
      </c>
      <c r="AX2" s="22"/>
      <c r="AY2" s="22"/>
      <c r="AZ2" s="22"/>
      <c r="BA2" s="22"/>
      <c r="BB2" s="22"/>
      <c r="BD2" s="22" t="s">
        <v>55</v>
      </c>
      <c r="BE2" s="22"/>
      <c r="BF2" s="22"/>
      <c r="BG2" s="22"/>
      <c r="BH2" s="22"/>
      <c r="BI2" s="22"/>
      <c r="BK2" s="22" t="s">
        <v>56</v>
      </c>
      <c r="BL2" s="22"/>
      <c r="BM2" s="22"/>
      <c r="BN2" s="22"/>
      <c r="BO2" s="22"/>
      <c r="BP2" s="22"/>
    </row>
    <row r="3" spans="2:68">
      <c r="B3" s="6" t="s">
        <v>27</v>
      </c>
      <c r="C3" s="6" t="s">
        <v>1</v>
      </c>
      <c r="D3" s="6" t="s">
        <v>25</v>
      </c>
      <c r="E3" s="7" t="s">
        <v>31</v>
      </c>
      <c r="F3" s="6" t="s">
        <v>30</v>
      </c>
      <c r="G3" s="6" t="s">
        <v>32</v>
      </c>
      <c r="I3" s="7" t="s">
        <v>12</v>
      </c>
      <c r="J3" s="7" t="s">
        <v>3</v>
      </c>
      <c r="K3" s="7" t="s">
        <v>4</v>
      </c>
      <c r="L3" s="7" t="s">
        <v>13</v>
      </c>
      <c r="N3" s="6" t="s">
        <v>12</v>
      </c>
      <c r="O3" s="6" t="s">
        <v>3</v>
      </c>
      <c r="P3" s="6" t="s">
        <v>33</v>
      </c>
      <c r="Q3" s="6" t="s">
        <v>4</v>
      </c>
      <c r="R3" s="6" t="s">
        <v>33</v>
      </c>
      <c r="S3" s="6" t="s">
        <v>13</v>
      </c>
      <c r="U3" s="6" t="s">
        <v>12</v>
      </c>
      <c r="V3" s="6" t="s">
        <v>3</v>
      </c>
      <c r="W3" s="6" t="s">
        <v>33</v>
      </c>
      <c r="X3" s="6" t="s">
        <v>4</v>
      </c>
      <c r="Y3" s="6" t="s">
        <v>33</v>
      </c>
      <c r="Z3" s="6" t="s">
        <v>13</v>
      </c>
      <c r="AB3" s="6" t="s">
        <v>12</v>
      </c>
      <c r="AC3" s="6" t="s">
        <v>3</v>
      </c>
      <c r="AD3" s="6" t="s">
        <v>33</v>
      </c>
      <c r="AE3" s="6" t="s">
        <v>4</v>
      </c>
      <c r="AF3" s="6" t="s">
        <v>33</v>
      </c>
      <c r="AG3" s="6" t="s">
        <v>13</v>
      </c>
      <c r="AI3" s="6" t="s">
        <v>12</v>
      </c>
      <c r="AJ3" s="6" t="s">
        <v>3</v>
      </c>
      <c r="AK3" s="6" t="s">
        <v>33</v>
      </c>
      <c r="AL3" s="6" t="s">
        <v>4</v>
      </c>
      <c r="AM3" s="6" t="s">
        <v>33</v>
      </c>
      <c r="AN3" s="6" t="s">
        <v>13</v>
      </c>
      <c r="AP3" s="6" t="s">
        <v>12</v>
      </c>
      <c r="AQ3" s="6" t="s">
        <v>3</v>
      </c>
      <c r="AR3" s="6" t="s">
        <v>33</v>
      </c>
      <c r="AS3" s="6" t="s">
        <v>4</v>
      </c>
      <c r="AT3" s="6" t="s">
        <v>33</v>
      </c>
      <c r="AU3" s="6" t="s">
        <v>13</v>
      </c>
      <c r="AW3" s="6" t="s">
        <v>12</v>
      </c>
      <c r="AX3" s="6" t="s">
        <v>3</v>
      </c>
      <c r="AY3" s="6" t="s">
        <v>33</v>
      </c>
      <c r="AZ3" s="6" t="s">
        <v>4</v>
      </c>
      <c r="BA3" s="6" t="s">
        <v>33</v>
      </c>
      <c r="BB3" s="6" t="s">
        <v>13</v>
      </c>
      <c r="BD3" s="6" t="s">
        <v>12</v>
      </c>
      <c r="BE3" s="6" t="s">
        <v>3</v>
      </c>
      <c r="BF3" s="6" t="s">
        <v>33</v>
      </c>
      <c r="BG3" s="6" t="s">
        <v>4</v>
      </c>
      <c r="BH3" s="6" t="s">
        <v>33</v>
      </c>
      <c r="BI3" s="6" t="s">
        <v>13</v>
      </c>
      <c r="BK3" s="6" t="s">
        <v>12</v>
      </c>
      <c r="BL3" s="6" t="s">
        <v>3</v>
      </c>
      <c r="BM3" s="6" t="s">
        <v>33</v>
      </c>
      <c r="BN3" s="6" t="s">
        <v>4</v>
      </c>
      <c r="BO3" s="6" t="s">
        <v>33</v>
      </c>
      <c r="BP3" s="6" t="s">
        <v>13</v>
      </c>
    </row>
    <row r="4" spans="2:68">
      <c r="B4" t="s">
        <v>28</v>
      </c>
      <c r="C4" t="s">
        <v>2</v>
      </c>
      <c r="E4" s="11">
        <v>6</v>
      </c>
      <c r="G4" s="12">
        <f>+SUM(G5:G14)</f>
        <v>0.99999999999999989</v>
      </c>
      <c r="I4" s="14">
        <f>+SUM(I5:I14)</f>
        <v>48</v>
      </c>
      <c r="J4" s="13">
        <f>+SUMPRODUCT(G5:G14,J5:J14)</f>
        <v>0</v>
      </c>
      <c r="K4" s="13">
        <f>+SUMPRODUCT(G5:G14,K5:K14)</f>
        <v>0</v>
      </c>
      <c r="L4" s="11"/>
      <c r="N4" s="14">
        <f>+SUM(N5:N14)</f>
        <v>10</v>
      </c>
      <c r="U4" s="14">
        <f>+SUM(U5:U14)</f>
        <v>10</v>
      </c>
      <c r="AB4" s="14">
        <f>+SUM(AB5:AB14)</f>
        <v>10</v>
      </c>
      <c r="AI4" s="14">
        <f>+SUM(AI5:AI14)</f>
        <v>10</v>
      </c>
      <c r="AP4" s="14">
        <f>+SUM(AP5:AP14)</f>
        <v>8</v>
      </c>
      <c r="AW4" s="14">
        <f>+SUM(AW5:AW14)</f>
        <v>0</v>
      </c>
      <c r="BD4" s="14">
        <f>+SUM(BD5:BD14)</f>
        <v>0</v>
      </c>
      <c r="BK4" s="14">
        <f>+SUM(BK5:BK14)</f>
        <v>0</v>
      </c>
    </row>
    <row r="5" spans="2:68" outlineLevel="1">
      <c r="B5" t="s">
        <v>29</v>
      </c>
      <c r="C5" t="s">
        <v>2</v>
      </c>
      <c r="E5" s="11"/>
      <c r="F5" t="s">
        <v>57</v>
      </c>
      <c r="G5" s="12">
        <v>0.1</v>
      </c>
      <c r="I5" s="11">
        <f t="shared" ref="I5:I14" si="0">+SUMIF($N$3:$AAG$3,I$3,$N5:$AAG5)</f>
        <v>3</v>
      </c>
      <c r="J5" s="13">
        <f t="shared" ref="J5:K14" si="1">+_xlfn.MAXIFS($N5:$ZM5,$N$3:$ZM$3,J$3)</f>
        <v>0</v>
      </c>
      <c r="K5" s="13">
        <f t="shared" si="1"/>
        <v>0</v>
      </c>
      <c r="L5" s="11"/>
      <c r="N5">
        <v>3</v>
      </c>
      <c r="O5" s="12"/>
      <c r="P5" s="12">
        <v>1</v>
      </c>
      <c r="Q5" s="12"/>
      <c r="R5" s="12">
        <v>1</v>
      </c>
      <c r="V5" s="12"/>
      <c r="W5" s="12">
        <v>1</v>
      </c>
      <c r="X5" s="12"/>
      <c r="Y5" s="12">
        <v>1</v>
      </c>
      <c r="AC5" s="12"/>
      <c r="AD5" s="12">
        <v>1</v>
      </c>
      <c r="AE5" s="12"/>
      <c r="AF5" s="12">
        <v>1</v>
      </c>
      <c r="AJ5" s="12"/>
      <c r="AK5" s="12">
        <v>1</v>
      </c>
      <c r="AL5" s="12"/>
      <c r="AM5" s="12">
        <v>1</v>
      </c>
      <c r="AQ5" s="12"/>
      <c r="AR5" s="12">
        <v>1</v>
      </c>
      <c r="AS5" s="12"/>
      <c r="AT5" s="12">
        <v>1</v>
      </c>
      <c r="AX5" s="12"/>
      <c r="AY5" s="12">
        <v>1</v>
      </c>
      <c r="AZ5" s="12"/>
      <c r="BA5" s="12">
        <v>1</v>
      </c>
      <c r="BE5" s="12"/>
      <c r="BF5" s="12"/>
      <c r="BG5" s="12"/>
      <c r="BH5" s="12"/>
      <c r="BL5" s="12"/>
      <c r="BM5" s="12"/>
      <c r="BN5" s="12"/>
      <c r="BO5" s="12"/>
    </row>
    <row r="6" spans="2:68" outlineLevel="1">
      <c r="B6" t="s">
        <v>29</v>
      </c>
      <c r="C6" t="s">
        <v>2</v>
      </c>
      <c r="E6" s="11"/>
      <c r="F6" t="s">
        <v>58</v>
      </c>
      <c r="G6" s="12">
        <v>0.1</v>
      </c>
      <c r="I6" s="11">
        <f t="shared" si="0"/>
        <v>5</v>
      </c>
      <c r="J6" s="13">
        <f t="shared" si="1"/>
        <v>0</v>
      </c>
      <c r="K6" s="13">
        <f t="shared" si="1"/>
        <v>0</v>
      </c>
      <c r="L6" s="11"/>
      <c r="N6">
        <v>3</v>
      </c>
      <c r="O6" s="12"/>
      <c r="P6" s="12">
        <v>0.8</v>
      </c>
      <c r="Q6" s="12"/>
      <c r="R6" s="12">
        <v>0.8</v>
      </c>
      <c r="U6">
        <v>2</v>
      </c>
      <c r="V6" s="12"/>
      <c r="W6" s="12">
        <v>1</v>
      </c>
      <c r="X6" s="12"/>
      <c r="Y6" s="12">
        <v>1</v>
      </c>
      <c r="AC6" s="12"/>
      <c r="AD6" s="12">
        <v>1</v>
      </c>
      <c r="AE6" s="12"/>
      <c r="AF6" s="12">
        <v>1</v>
      </c>
      <c r="AJ6" s="12"/>
      <c r="AK6" s="12">
        <v>1</v>
      </c>
      <c r="AL6" s="12"/>
      <c r="AM6" s="12">
        <v>1</v>
      </c>
      <c r="AQ6" s="12"/>
      <c r="AR6" s="12">
        <v>1</v>
      </c>
      <c r="AS6" s="12"/>
      <c r="AT6" s="12">
        <v>1</v>
      </c>
      <c r="AX6" s="12"/>
      <c r="AY6" s="12">
        <v>1</v>
      </c>
      <c r="AZ6" s="12"/>
      <c r="BA6" s="12">
        <v>1</v>
      </c>
      <c r="BE6" s="12"/>
      <c r="BF6" s="12"/>
      <c r="BG6" s="12"/>
      <c r="BH6" s="12"/>
      <c r="BL6" s="12"/>
      <c r="BM6" s="12"/>
      <c r="BN6" s="12"/>
      <c r="BO6" s="12"/>
    </row>
    <row r="7" spans="2:68" outlineLevel="1">
      <c r="B7" t="s">
        <v>29</v>
      </c>
      <c r="C7" t="s">
        <v>2</v>
      </c>
      <c r="E7" s="11"/>
      <c r="F7" t="s">
        <v>59</v>
      </c>
      <c r="G7" s="12">
        <v>0.1</v>
      </c>
      <c r="I7" s="11">
        <f t="shared" si="0"/>
        <v>6</v>
      </c>
      <c r="J7" s="13">
        <f t="shared" si="1"/>
        <v>0</v>
      </c>
      <c r="K7" s="13">
        <f t="shared" si="1"/>
        <v>0</v>
      </c>
      <c r="L7" s="11"/>
      <c r="N7">
        <v>2</v>
      </c>
      <c r="O7" s="12"/>
      <c r="P7" s="12">
        <v>0.5</v>
      </c>
      <c r="Q7" s="12"/>
      <c r="R7" s="12">
        <v>0.5</v>
      </c>
      <c r="U7">
        <v>2</v>
      </c>
      <c r="V7" s="12"/>
      <c r="W7" s="12">
        <v>0.8</v>
      </c>
      <c r="X7" s="12"/>
      <c r="Y7" s="12">
        <v>0.8</v>
      </c>
      <c r="AB7">
        <v>2</v>
      </c>
      <c r="AC7" s="12"/>
      <c r="AD7" s="12">
        <v>1</v>
      </c>
      <c r="AE7" s="12"/>
      <c r="AF7" s="12">
        <v>1</v>
      </c>
      <c r="AJ7" s="12"/>
      <c r="AK7" s="12">
        <v>1</v>
      </c>
      <c r="AL7" s="12"/>
      <c r="AM7" s="12">
        <v>1</v>
      </c>
      <c r="AQ7" s="12"/>
      <c r="AR7" s="12">
        <v>1</v>
      </c>
      <c r="AS7" s="12"/>
      <c r="AT7" s="12">
        <v>1</v>
      </c>
      <c r="AX7" s="12"/>
      <c r="AY7" s="12">
        <v>1</v>
      </c>
      <c r="AZ7" s="12"/>
      <c r="BA7" s="12">
        <v>1</v>
      </c>
      <c r="BE7" s="12"/>
      <c r="BF7" s="12"/>
      <c r="BG7" s="12"/>
      <c r="BH7" s="12"/>
      <c r="BL7" s="12"/>
      <c r="BM7" s="12"/>
      <c r="BN7" s="12"/>
      <c r="BO7" s="12"/>
    </row>
    <row r="8" spans="2:68" outlineLevel="1">
      <c r="B8" t="s">
        <v>29</v>
      </c>
      <c r="C8" t="s">
        <v>2</v>
      </c>
      <c r="E8" s="11"/>
      <c r="F8" t="s">
        <v>60</v>
      </c>
      <c r="G8" s="12">
        <v>0.1</v>
      </c>
      <c r="I8" s="11">
        <f t="shared" si="0"/>
        <v>6</v>
      </c>
      <c r="J8" s="13">
        <f t="shared" si="1"/>
        <v>0</v>
      </c>
      <c r="K8" s="13">
        <f t="shared" si="1"/>
        <v>0</v>
      </c>
      <c r="L8" s="11"/>
      <c r="N8">
        <v>2</v>
      </c>
      <c r="O8" s="12"/>
      <c r="P8" s="12">
        <v>0.5</v>
      </c>
      <c r="Q8" s="12"/>
      <c r="R8" s="12">
        <v>0.5</v>
      </c>
      <c r="U8">
        <v>2</v>
      </c>
      <c r="V8" s="12"/>
      <c r="W8" s="12">
        <v>0.8</v>
      </c>
      <c r="X8" s="12"/>
      <c r="Y8" s="12">
        <v>0.8</v>
      </c>
      <c r="AB8">
        <v>2</v>
      </c>
      <c r="AC8" s="12"/>
      <c r="AD8" s="12">
        <v>1</v>
      </c>
      <c r="AE8" s="12"/>
      <c r="AF8" s="12">
        <v>1</v>
      </c>
      <c r="AJ8" s="12"/>
      <c r="AK8" s="12">
        <v>1</v>
      </c>
      <c r="AL8" s="12"/>
      <c r="AM8" s="12">
        <v>1</v>
      </c>
      <c r="AQ8" s="12"/>
      <c r="AR8" s="12">
        <v>1</v>
      </c>
      <c r="AS8" s="12"/>
      <c r="AT8" s="12">
        <v>1</v>
      </c>
      <c r="AX8" s="12"/>
      <c r="AY8" s="12">
        <v>1</v>
      </c>
      <c r="AZ8" s="12"/>
      <c r="BA8" s="12">
        <v>1</v>
      </c>
      <c r="BE8" s="12"/>
      <c r="BF8" s="12"/>
      <c r="BG8" s="12"/>
      <c r="BH8" s="12"/>
      <c r="BL8" s="12"/>
      <c r="BM8" s="12"/>
      <c r="BN8" s="12"/>
      <c r="BO8" s="12"/>
    </row>
    <row r="9" spans="2:68" outlineLevel="1">
      <c r="B9" t="s">
        <v>29</v>
      </c>
      <c r="C9" t="s">
        <v>2</v>
      </c>
      <c r="E9" s="11"/>
      <c r="F9" t="s">
        <v>61</v>
      </c>
      <c r="G9" s="12">
        <v>0.1</v>
      </c>
      <c r="I9" s="11">
        <f t="shared" si="0"/>
        <v>6</v>
      </c>
      <c r="J9" s="13">
        <f t="shared" si="1"/>
        <v>0</v>
      </c>
      <c r="K9" s="13">
        <f t="shared" si="1"/>
        <v>0</v>
      </c>
      <c r="L9" s="11"/>
      <c r="O9" s="12"/>
      <c r="P9" s="12"/>
      <c r="Q9" s="12"/>
      <c r="R9" s="12"/>
      <c r="U9">
        <v>2</v>
      </c>
      <c r="V9" s="12"/>
      <c r="W9" s="12">
        <v>0.5</v>
      </c>
      <c r="X9" s="12"/>
      <c r="Y9" s="12">
        <v>0.5</v>
      </c>
      <c r="AB9">
        <v>2</v>
      </c>
      <c r="AC9" s="12"/>
      <c r="AD9" s="12">
        <v>0.8</v>
      </c>
      <c r="AE9" s="12"/>
      <c r="AF9" s="12">
        <v>0.8</v>
      </c>
      <c r="AI9">
        <v>2</v>
      </c>
      <c r="AJ9" s="12"/>
      <c r="AK9" s="12">
        <v>1</v>
      </c>
      <c r="AL9" s="12"/>
      <c r="AM9" s="12">
        <v>1</v>
      </c>
      <c r="AQ9" s="12"/>
      <c r="AR9" s="12">
        <v>1</v>
      </c>
      <c r="AS9" s="12"/>
      <c r="AT9" s="12">
        <v>1</v>
      </c>
      <c r="AX9" s="12"/>
      <c r="AY9" s="12">
        <v>1</v>
      </c>
      <c r="AZ9" s="12"/>
      <c r="BA9" s="12">
        <v>1</v>
      </c>
      <c r="BE9" s="12"/>
      <c r="BF9" s="12"/>
      <c r="BG9" s="12"/>
      <c r="BH9" s="12"/>
      <c r="BL9" s="12"/>
      <c r="BM9" s="12"/>
      <c r="BN9" s="12"/>
      <c r="BO9" s="12"/>
    </row>
    <row r="10" spans="2:68" outlineLevel="1">
      <c r="B10" t="s">
        <v>29</v>
      </c>
      <c r="C10" t="s">
        <v>2</v>
      </c>
      <c r="E10" s="11"/>
      <c r="F10" t="s">
        <v>62</v>
      </c>
      <c r="G10" s="12">
        <v>0.1</v>
      </c>
      <c r="I10" s="11">
        <f t="shared" si="0"/>
        <v>6</v>
      </c>
      <c r="J10" s="13">
        <f t="shared" si="1"/>
        <v>0</v>
      </c>
      <c r="K10" s="13">
        <f t="shared" si="1"/>
        <v>0</v>
      </c>
      <c r="L10" s="11"/>
      <c r="O10" s="12"/>
      <c r="P10" s="12"/>
      <c r="Q10" s="12"/>
      <c r="R10" s="12"/>
      <c r="U10">
        <v>2</v>
      </c>
      <c r="V10" s="12"/>
      <c r="W10" s="12">
        <v>0.5</v>
      </c>
      <c r="X10" s="12"/>
      <c r="Y10" s="12">
        <v>0.5</v>
      </c>
      <c r="AB10">
        <v>2</v>
      </c>
      <c r="AC10" s="12"/>
      <c r="AD10" s="12">
        <v>0.8</v>
      </c>
      <c r="AE10" s="12"/>
      <c r="AF10" s="12">
        <v>0.8</v>
      </c>
      <c r="AI10">
        <v>2</v>
      </c>
      <c r="AJ10" s="12"/>
      <c r="AK10" s="12">
        <v>1</v>
      </c>
      <c r="AL10" s="12"/>
      <c r="AM10" s="12">
        <v>1</v>
      </c>
      <c r="AQ10" s="12"/>
      <c r="AR10" s="12">
        <v>1</v>
      </c>
      <c r="AS10" s="12"/>
      <c r="AT10" s="12">
        <v>1</v>
      </c>
      <c r="AX10" s="12"/>
      <c r="AY10" s="12">
        <v>1</v>
      </c>
      <c r="AZ10" s="12"/>
      <c r="BA10" s="12">
        <v>1</v>
      </c>
      <c r="BE10" s="12"/>
      <c r="BF10" s="12"/>
      <c r="BG10" s="12"/>
      <c r="BH10" s="12"/>
      <c r="BL10" s="12"/>
      <c r="BM10" s="12"/>
      <c r="BN10" s="12"/>
      <c r="BO10" s="12"/>
    </row>
    <row r="11" spans="2:68" outlineLevel="1">
      <c r="B11" t="s">
        <v>29</v>
      </c>
      <c r="C11" t="s">
        <v>2</v>
      </c>
      <c r="E11" s="11"/>
      <c r="F11" t="s">
        <v>63</v>
      </c>
      <c r="G11" s="12">
        <v>0.1</v>
      </c>
      <c r="I11" s="11">
        <f t="shared" si="0"/>
        <v>6</v>
      </c>
      <c r="J11" s="13">
        <f t="shared" si="1"/>
        <v>0</v>
      </c>
      <c r="K11" s="13">
        <f t="shared" si="1"/>
        <v>0</v>
      </c>
      <c r="L11" s="11"/>
      <c r="O11" s="12"/>
      <c r="P11" s="12"/>
      <c r="Q11" s="12"/>
      <c r="R11" s="12"/>
      <c r="V11" s="12"/>
      <c r="W11" s="12"/>
      <c r="X11" s="12"/>
      <c r="Y11" s="12"/>
      <c r="AB11">
        <v>2</v>
      </c>
      <c r="AC11" s="12"/>
      <c r="AD11" s="12">
        <v>0.5</v>
      </c>
      <c r="AE11" s="12"/>
      <c r="AF11" s="12">
        <v>0.5</v>
      </c>
      <c r="AI11">
        <v>2</v>
      </c>
      <c r="AJ11" s="12"/>
      <c r="AK11" s="12">
        <v>0.8</v>
      </c>
      <c r="AL11" s="12"/>
      <c r="AM11" s="12">
        <v>0.8</v>
      </c>
      <c r="AP11">
        <v>2</v>
      </c>
      <c r="AQ11" s="12"/>
      <c r="AR11" s="12">
        <v>1</v>
      </c>
      <c r="AS11" s="12"/>
      <c r="AT11" s="12">
        <v>1</v>
      </c>
      <c r="AX11" s="12"/>
      <c r="AY11" s="12">
        <v>1</v>
      </c>
      <c r="AZ11" s="12"/>
      <c r="BA11" s="12">
        <v>1</v>
      </c>
      <c r="BE11" s="12"/>
      <c r="BF11" s="12"/>
      <c r="BG11" s="12"/>
      <c r="BH11" s="12"/>
      <c r="BL11" s="12"/>
      <c r="BM11" s="12"/>
      <c r="BN11" s="12"/>
      <c r="BO11" s="12"/>
    </row>
    <row r="12" spans="2:68" outlineLevel="1">
      <c r="B12" t="s">
        <v>29</v>
      </c>
      <c r="C12" t="s">
        <v>2</v>
      </c>
      <c r="E12" s="11"/>
      <c r="F12" t="s">
        <v>64</v>
      </c>
      <c r="G12" s="12">
        <v>0.1</v>
      </c>
      <c r="I12" s="11">
        <f t="shared" si="0"/>
        <v>4</v>
      </c>
      <c r="J12" s="13">
        <f t="shared" si="1"/>
        <v>0</v>
      </c>
      <c r="K12" s="13">
        <f t="shared" si="1"/>
        <v>0</v>
      </c>
      <c r="L12" s="11"/>
      <c r="O12" s="12"/>
      <c r="P12" s="12"/>
      <c r="Q12" s="12"/>
      <c r="R12" s="12"/>
      <c r="V12" s="12"/>
      <c r="W12" s="12"/>
      <c r="X12" s="12"/>
      <c r="Y12" s="12"/>
      <c r="AC12" s="12"/>
      <c r="AD12" s="12"/>
      <c r="AE12" s="12"/>
      <c r="AF12" s="12"/>
      <c r="AI12">
        <v>2</v>
      </c>
      <c r="AJ12" s="12"/>
      <c r="AK12" s="12">
        <v>0.5</v>
      </c>
      <c r="AL12" s="12"/>
      <c r="AM12" s="12">
        <v>0.5</v>
      </c>
      <c r="AP12">
        <v>2</v>
      </c>
      <c r="AQ12" s="12"/>
      <c r="AR12" s="12">
        <v>0.8</v>
      </c>
      <c r="AS12" s="12"/>
      <c r="AT12" s="12">
        <v>0.8</v>
      </c>
      <c r="AX12" s="12"/>
      <c r="AY12" s="12">
        <v>1</v>
      </c>
      <c r="AZ12" s="12"/>
      <c r="BA12" s="12">
        <v>1</v>
      </c>
      <c r="BE12" s="12"/>
      <c r="BF12" s="12"/>
      <c r="BG12" s="12"/>
      <c r="BH12" s="12"/>
      <c r="BL12" s="12"/>
      <c r="BM12" s="12"/>
      <c r="BN12" s="12"/>
      <c r="BO12" s="12"/>
    </row>
    <row r="13" spans="2:68" outlineLevel="1">
      <c r="B13" t="s">
        <v>29</v>
      </c>
      <c r="C13" t="s">
        <v>2</v>
      </c>
      <c r="E13" s="11"/>
      <c r="F13" t="s">
        <v>65</v>
      </c>
      <c r="G13" s="12">
        <v>0.1</v>
      </c>
      <c r="I13" s="11">
        <f t="shared" si="0"/>
        <v>4</v>
      </c>
      <c r="J13" s="13">
        <f t="shared" si="1"/>
        <v>0</v>
      </c>
      <c r="K13" s="13">
        <f t="shared" si="1"/>
        <v>0</v>
      </c>
      <c r="L13" s="11"/>
      <c r="O13" s="12"/>
      <c r="P13" s="12"/>
      <c r="Q13" s="12"/>
      <c r="R13" s="12"/>
      <c r="V13" s="12"/>
      <c r="W13" s="12"/>
      <c r="X13" s="12"/>
      <c r="Y13" s="12"/>
      <c r="AC13" s="12"/>
      <c r="AD13" s="12"/>
      <c r="AE13" s="12"/>
      <c r="AF13" s="12"/>
      <c r="AI13">
        <v>2</v>
      </c>
      <c r="AJ13" s="12"/>
      <c r="AK13" s="12">
        <v>0.5</v>
      </c>
      <c r="AL13" s="12"/>
      <c r="AM13" s="12">
        <v>0.5</v>
      </c>
      <c r="AP13">
        <v>2</v>
      </c>
      <c r="AQ13" s="12"/>
      <c r="AR13" s="12">
        <v>0.8</v>
      </c>
      <c r="AS13" s="12"/>
      <c r="AT13" s="12">
        <v>0.8</v>
      </c>
      <c r="AX13" s="12"/>
      <c r="AY13" s="12">
        <v>1</v>
      </c>
      <c r="AZ13" s="12"/>
      <c r="BA13" s="12">
        <v>1</v>
      </c>
      <c r="BE13" s="12"/>
      <c r="BF13" s="12"/>
      <c r="BG13" s="12"/>
      <c r="BH13" s="12"/>
      <c r="BL13" s="12"/>
      <c r="BM13" s="12"/>
      <c r="BN13" s="12"/>
      <c r="BO13" s="12"/>
    </row>
    <row r="14" spans="2:68" outlineLevel="1">
      <c r="B14" t="s">
        <v>29</v>
      </c>
      <c r="C14" t="s">
        <v>2</v>
      </c>
      <c r="E14" s="11"/>
      <c r="F14" t="s">
        <v>66</v>
      </c>
      <c r="G14" s="12">
        <v>0.1</v>
      </c>
      <c r="I14" s="11">
        <f t="shared" si="0"/>
        <v>2</v>
      </c>
      <c r="J14" s="13">
        <f t="shared" si="1"/>
        <v>0</v>
      </c>
      <c r="K14" s="13">
        <f t="shared" si="1"/>
        <v>0</v>
      </c>
      <c r="L14" s="11"/>
      <c r="O14" s="12"/>
      <c r="P14" s="12"/>
      <c r="Q14" s="12"/>
      <c r="R14" s="12"/>
      <c r="V14" s="12"/>
      <c r="W14" s="12"/>
      <c r="X14" s="12"/>
      <c r="Y14" s="12"/>
      <c r="AC14" s="12"/>
      <c r="AD14" s="12"/>
      <c r="AE14" s="12"/>
      <c r="AF14" s="12"/>
      <c r="AJ14" s="12"/>
      <c r="AK14" s="12"/>
      <c r="AL14" s="12"/>
      <c r="AM14" s="12"/>
      <c r="AP14">
        <v>2</v>
      </c>
      <c r="AQ14" s="12"/>
      <c r="AR14" s="12">
        <v>0.5</v>
      </c>
      <c r="AS14" s="12"/>
      <c r="AT14" s="12">
        <v>0.8</v>
      </c>
      <c r="AX14" s="12"/>
      <c r="AY14" s="12">
        <v>1</v>
      </c>
      <c r="AZ14" s="12"/>
      <c r="BA14" s="12">
        <v>1</v>
      </c>
      <c r="BE14" s="12"/>
      <c r="BF14" s="12"/>
      <c r="BG14" s="12"/>
      <c r="BH14" s="12"/>
      <c r="BL14" s="12"/>
      <c r="BM14" s="12"/>
      <c r="BN14" s="12"/>
      <c r="BO14" s="12"/>
    </row>
    <row r="15" spans="2:68">
      <c r="O15" s="9"/>
      <c r="V15" s="9"/>
      <c r="AC15" s="9"/>
      <c r="AJ15" s="9"/>
      <c r="AQ15" s="9"/>
      <c r="AX15" s="9"/>
      <c r="BE15" s="9"/>
      <c r="BL15" s="9"/>
    </row>
    <row r="16" spans="2:68">
      <c r="B16" t="s">
        <v>28</v>
      </c>
      <c r="C16" t="s">
        <v>67</v>
      </c>
      <c r="E16" s="11">
        <v>6</v>
      </c>
      <c r="G16" s="12">
        <f>+SUM(G17:G28)</f>
        <v>0.99999999999999989</v>
      </c>
      <c r="I16" s="14">
        <f>+SUM(I17:I28)</f>
        <v>95</v>
      </c>
      <c r="J16" s="13">
        <f>+SUMPRODUCT(G17:G28,J17:J28)</f>
        <v>0</v>
      </c>
      <c r="K16" s="13">
        <f>+SUMPRODUCT(G17:G28,K17:K28)</f>
        <v>0</v>
      </c>
      <c r="L16" s="11"/>
      <c r="N16" s="14">
        <f>+SUM(N17:N28)</f>
        <v>10</v>
      </c>
      <c r="U16" s="14">
        <f>+SUM(U17:U28)</f>
        <v>10</v>
      </c>
      <c r="AB16" s="14">
        <f>+SUM(AB17:AB28)</f>
        <v>10</v>
      </c>
      <c r="AI16" s="14">
        <f>+SUM(AI17:AI28)</f>
        <v>10</v>
      </c>
      <c r="AP16" s="14">
        <f>+SUM(AP17:AP28)</f>
        <v>10</v>
      </c>
      <c r="AW16" s="11">
        <f>+SUM(AW17:AW28)</f>
        <v>20</v>
      </c>
      <c r="BD16" s="11">
        <f>+SUM(BD17:BD28)</f>
        <v>25</v>
      </c>
      <c r="BK16" s="11">
        <f>+SUM(BK17:BK28)</f>
        <v>0</v>
      </c>
    </row>
    <row r="17" spans="2:67" outlineLevel="1">
      <c r="B17" t="s">
        <v>29</v>
      </c>
      <c r="C17" t="s">
        <v>67</v>
      </c>
      <c r="E17" s="11"/>
      <c r="F17" t="s">
        <v>71</v>
      </c>
      <c r="G17" s="12">
        <v>0.08</v>
      </c>
      <c r="I17" s="11">
        <f t="shared" ref="I17:I28" si="2">+SUMIF($N$3:$AAG$3,I$3,$N17:$AAG17)</f>
        <v>4</v>
      </c>
      <c r="J17" s="13">
        <f t="shared" ref="J17:K28" si="3">+_xlfn.MAXIFS($N17:$ZM17,$N$3:$ZM$3,J$3)</f>
        <v>0</v>
      </c>
      <c r="K17" s="13">
        <f t="shared" si="3"/>
        <v>0</v>
      </c>
      <c r="L17" s="11"/>
      <c r="N17">
        <v>2</v>
      </c>
      <c r="O17" s="12"/>
      <c r="P17" s="12">
        <v>0.8</v>
      </c>
      <c r="Q17" s="12"/>
      <c r="R17" s="12">
        <v>0.8</v>
      </c>
      <c r="U17">
        <v>2</v>
      </c>
      <c r="V17" s="12"/>
      <c r="W17" s="12">
        <v>1</v>
      </c>
      <c r="X17" s="12"/>
      <c r="Y17" s="12">
        <v>1</v>
      </c>
      <c r="AC17" s="12"/>
      <c r="AD17" s="12">
        <v>1</v>
      </c>
      <c r="AE17" s="12"/>
      <c r="AF17" s="12">
        <v>1</v>
      </c>
      <c r="AJ17" s="12"/>
      <c r="AK17" s="12">
        <v>1</v>
      </c>
      <c r="AL17" s="12"/>
      <c r="AM17" s="12">
        <v>1</v>
      </c>
      <c r="AQ17" s="12"/>
      <c r="AR17" s="12">
        <v>1</v>
      </c>
      <c r="AS17" s="12"/>
      <c r="AT17" s="12">
        <v>1</v>
      </c>
      <c r="AX17" s="12"/>
      <c r="AY17" s="12">
        <v>1</v>
      </c>
      <c r="AZ17" s="12"/>
      <c r="BA17" s="12">
        <v>1</v>
      </c>
      <c r="BE17" s="12"/>
      <c r="BF17" s="12">
        <v>1</v>
      </c>
      <c r="BG17" s="12"/>
      <c r="BH17" s="12">
        <v>1</v>
      </c>
      <c r="BL17" s="12"/>
      <c r="BM17" s="12">
        <v>1</v>
      </c>
      <c r="BN17" s="12"/>
      <c r="BO17" s="12">
        <v>1</v>
      </c>
    </row>
    <row r="18" spans="2:67" outlineLevel="1">
      <c r="B18" t="s">
        <v>29</v>
      </c>
      <c r="C18" t="s">
        <v>67</v>
      </c>
      <c r="E18" s="11"/>
      <c r="F18" t="s">
        <v>72</v>
      </c>
      <c r="G18" s="12">
        <v>0.08</v>
      </c>
      <c r="I18" s="11">
        <f t="shared" si="2"/>
        <v>6</v>
      </c>
      <c r="J18" s="13">
        <f t="shared" si="3"/>
        <v>0</v>
      </c>
      <c r="K18" s="13">
        <f t="shared" si="3"/>
        <v>0</v>
      </c>
      <c r="L18" s="11"/>
      <c r="N18">
        <v>4</v>
      </c>
      <c r="O18" s="12"/>
      <c r="P18" s="12">
        <v>0.8</v>
      </c>
      <c r="Q18" s="12"/>
      <c r="R18" s="12">
        <v>0.8</v>
      </c>
      <c r="V18" s="12"/>
      <c r="W18" s="12">
        <v>0.8</v>
      </c>
      <c r="X18" s="12"/>
      <c r="Y18" s="12">
        <v>0.8</v>
      </c>
      <c r="AB18">
        <v>2</v>
      </c>
      <c r="AC18" s="12"/>
      <c r="AD18" s="12">
        <v>1</v>
      </c>
      <c r="AE18" s="12"/>
      <c r="AF18" s="12">
        <v>1</v>
      </c>
      <c r="AJ18" s="12"/>
      <c r="AK18" s="12">
        <v>1</v>
      </c>
      <c r="AL18" s="12"/>
      <c r="AM18" s="12">
        <v>1</v>
      </c>
      <c r="AQ18" s="12"/>
      <c r="AR18" s="12">
        <v>1</v>
      </c>
      <c r="AS18" s="12"/>
      <c r="AT18" s="12">
        <v>1</v>
      </c>
      <c r="AX18" s="12"/>
      <c r="AY18" s="12">
        <v>1</v>
      </c>
      <c r="AZ18" s="12"/>
      <c r="BA18" s="12">
        <v>1</v>
      </c>
      <c r="BE18" s="12"/>
      <c r="BF18" s="12">
        <v>1</v>
      </c>
      <c r="BG18" s="12"/>
      <c r="BH18" s="12">
        <v>1</v>
      </c>
      <c r="BL18" s="12"/>
      <c r="BM18" s="12">
        <v>1</v>
      </c>
      <c r="BN18" s="12"/>
      <c r="BO18" s="12">
        <v>1</v>
      </c>
    </row>
    <row r="19" spans="2:67" outlineLevel="1">
      <c r="B19" t="s">
        <v>29</v>
      </c>
      <c r="C19" t="s">
        <v>67</v>
      </c>
      <c r="E19" s="11"/>
      <c r="F19" t="s">
        <v>73</v>
      </c>
      <c r="G19" s="12">
        <v>0.08</v>
      </c>
      <c r="I19" s="11">
        <f t="shared" si="2"/>
        <v>6</v>
      </c>
      <c r="J19" s="13">
        <f t="shared" si="3"/>
        <v>0</v>
      </c>
      <c r="K19" s="13">
        <f t="shared" si="3"/>
        <v>0</v>
      </c>
      <c r="L19" s="11"/>
      <c r="N19">
        <v>2</v>
      </c>
      <c r="O19" s="12"/>
      <c r="P19" s="12">
        <v>0.5</v>
      </c>
      <c r="Q19" s="12"/>
      <c r="R19" s="12">
        <v>0.5</v>
      </c>
      <c r="U19">
        <v>2</v>
      </c>
      <c r="V19" s="12"/>
      <c r="W19" s="12">
        <v>0.8</v>
      </c>
      <c r="X19" s="12"/>
      <c r="Y19" s="12">
        <v>0.8</v>
      </c>
      <c r="AB19">
        <v>2</v>
      </c>
      <c r="AC19" s="12"/>
      <c r="AD19" s="12">
        <v>1</v>
      </c>
      <c r="AE19" s="12"/>
      <c r="AF19" s="12">
        <v>1</v>
      </c>
      <c r="AJ19" s="12"/>
      <c r="AK19" s="12">
        <v>1</v>
      </c>
      <c r="AL19" s="12"/>
      <c r="AM19" s="12">
        <v>1</v>
      </c>
      <c r="AQ19" s="12"/>
      <c r="AR19" s="12">
        <v>1</v>
      </c>
      <c r="AS19" s="12"/>
      <c r="AT19" s="12">
        <v>1</v>
      </c>
      <c r="AX19" s="12"/>
      <c r="AY19" s="12">
        <v>1</v>
      </c>
      <c r="AZ19" s="12"/>
      <c r="BA19" s="12">
        <v>1</v>
      </c>
      <c r="BE19" s="12"/>
      <c r="BF19" s="12">
        <v>1</v>
      </c>
      <c r="BG19" s="12"/>
      <c r="BH19" s="12">
        <v>1</v>
      </c>
      <c r="BL19" s="12"/>
      <c r="BM19" s="12">
        <v>1</v>
      </c>
      <c r="BN19" s="12"/>
      <c r="BO19" s="12">
        <v>1</v>
      </c>
    </row>
    <row r="20" spans="2:67" outlineLevel="1">
      <c r="B20" t="s">
        <v>29</v>
      </c>
      <c r="C20" t="s">
        <v>67</v>
      </c>
      <c r="E20" s="11"/>
      <c r="F20" t="s">
        <v>74</v>
      </c>
      <c r="G20" s="12">
        <v>0.08</v>
      </c>
      <c r="I20" s="11">
        <f t="shared" si="2"/>
        <v>6</v>
      </c>
      <c r="J20" s="13">
        <f t="shared" si="3"/>
        <v>0</v>
      </c>
      <c r="K20" s="13">
        <f t="shared" si="3"/>
        <v>0</v>
      </c>
      <c r="L20" s="11"/>
      <c r="N20">
        <v>2</v>
      </c>
      <c r="O20" s="12"/>
      <c r="P20" s="12">
        <v>0.5</v>
      </c>
      <c r="Q20" s="12"/>
      <c r="R20" s="12">
        <v>0.5</v>
      </c>
      <c r="U20">
        <v>2</v>
      </c>
      <c r="V20" s="12"/>
      <c r="W20" s="12">
        <v>0.8</v>
      </c>
      <c r="X20" s="12"/>
      <c r="Y20" s="12">
        <v>0.8</v>
      </c>
      <c r="AC20" s="12"/>
      <c r="AD20" s="12">
        <v>0.8</v>
      </c>
      <c r="AE20" s="12"/>
      <c r="AF20" s="12">
        <v>0.8</v>
      </c>
      <c r="AI20">
        <v>2</v>
      </c>
      <c r="AJ20" s="12"/>
      <c r="AK20" s="12">
        <v>1</v>
      </c>
      <c r="AL20" s="12"/>
      <c r="AM20" s="12">
        <v>1</v>
      </c>
      <c r="AQ20" s="12"/>
      <c r="AR20" s="12">
        <v>1</v>
      </c>
      <c r="AS20" s="12"/>
      <c r="AT20" s="12">
        <v>1</v>
      </c>
      <c r="AX20" s="12"/>
      <c r="AY20" s="12">
        <v>1</v>
      </c>
      <c r="AZ20" s="12"/>
      <c r="BA20" s="12">
        <v>1</v>
      </c>
      <c r="BE20" s="12"/>
      <c r="BF20" s="12">
        <v>1</v>
      </c>
      <c r="BG20" s="12"/>
      <c r="BH20" s="12">
        <v>1</v>
      </c>
      <c r="BL20" s="12"/>
      <c r="BM20" s="12">
        <v>1</v>
      </c>
      <c r="BN20" s="12"/>
      <c r="BO20" s="12">
        <v>1</v>
      </c>
    </row>
    <row r="21" spans="2:67" outlineLevel="1">
      <c r="B21" t="s">
        <v>29</v>
      </c>
      <c r="C21" t="s">
        <v>67</v>
      </c>
      <c r="E21" s="11"/>
      <c r="F21" t="s">
        <v>75</v>
      </c>
      <c r="G21" s="12">
        <v>0.08</v>
      </c>
      <c r="I21" s="11">
        <f t="shared" si="2"/>
        <v>6</v>
      </c>
      <c r="J21" s="13">
        <f t="shared" si="3"/>
        <v>0</v>
      </c>
      <c r="K21" s="13">
        <f t="shared" si="3"/>
        <v>0</v>
      </c>
      <c r="L21" s="11"/>
      <c r="O21" s="12"/>
      <c r="P21" s="12"/>
      <c r="Q21" s="12"/>
      <c r="R21" s="12"/>
      <c r="U21">
        <v>2</v>
      </c>
      <c r="V21" s="12"/>
      <c r="W21" s="12">
        <v>0.5</v>
      </c>
      <c r="X21" s="12"/>
      <c r="Y21" s="12">
        <v>0.5</v>
      </c>
      <c r="AB21">
        <v>2</v>
      </c>
      <c r="AC21" s="12"/>
      <c r="AD21" s="12">
        <v>0.8</v>
      </c>
      <c r="AE21" s="12"/>
      <c r="AF21" s="12">
        <v>0.8</v>
      </c>
      <c r="AJ21" s="12"/>
      <c r="AK21" s="12">
        <v>0.8</v>
      </c>
      <c r="AL21" s="12"/>
      <c r="AM21" s="12">
        <v>0.8</v>
      </c>
      <c r="AP21">
        <v>2</v>
      </c>
      <c r="AQ21" s="12"/>
      <c r="AR21" s="12">
        <v>1</v>
      </c>
      <c r="AS21" s="12"/>
      <c r="AT21" s="12">
        <v>1</v>
      </c>
      <c r="AX21" s="12"/>
      <c r="AY21" s="12">
        <v>1</v>
      </c>
      <c r="AZ21" s="12"/>
      <c r="BA21" s="12">
        <v>1</v>
      </c>
      <c r="BE21" s="12"/>
      <c r="BF21" s="12">
        <v>1</v>
      </c>
      <c r="BG21" s="12"/>
      <c r="BH21" s="12">
        <v>1</v>
      </c>
      <c r="BL21" s="12"/>
      <c r="BM21" s="12">
        <v>1</v>
      </c>
      <c r="BN21" s="12"/>
      <c r="BO21" s="12">
        <v>1</v>
      </c>
    </row>
    <row r="22" spans="2:67" outlineLevel="1">
      <c r="B22" t="s">
        <v>29</v>
      </c>
      <c r="C22" t="s">
        <v>67</v>
      </c>
      <c r="E22" s="11"/>
      <c r="F22" t="s">
        <v>76</v>
      </c>
      <c r="G22" s="12">
        <v>0.08</v>
      </c>
      <c r="I22" s="11">
        <f t="shared" si="2"/>
        <v>6</v>
      </c>
      <c r="J22" s="13">
        <f t="shared" si="3"/>
        <v>0</v>
      </c>
      <c r="K22" s="13">
        <f t="shared" si="3"/>
        <v>0</v>
      </c>
      <c r="L22" s="11"/>
      <c r="O22" s="12"/>
      <c r="P22" s="12"/>
      <c r="Q22" s="12"/>
      <c r="R22" s="12"/>
      <c r="U22">
        <v>2</v>
      </c>
      <c r="V22" s="12"/>
      <c r="W22" s="12">
        <v>0.5</v>
      </c>
      <c r="X22" s="12"/>
      <c r="Y22" s="12">
        <v>0.5</v>
      </c>
      <c r="AC22" s="12"/>
      <c r="AD22" s="12">
        <v>0.5</v>
      </c>
      <c r="AE22" s="12"/>
      <c r="AF22" s="12">
        <v>0.5</v>
      </c>
      <c r="AI22">
        <v>2</v>
      </c>
      <c r="AJ22" s="12"/>
      <c r="AK22" s="12">
        <v>0.8</v>
      </c>
      <c r="AL22" s="12"/>
      <c r="AM22" s="12">
        <v>0.8</v>
      </c>
      <c r="AP22">
        <v>2</v>
      </c>
      <c r="AQ22" s="12"/>
      <c r="AR22" s="12">
        <v>1</v>
      </c>
      <c r="AS22" s="12"/>
      <c r="AT22" s="12">
        <v>1</v>
      </c>
      <c r="AX22" s="12"/>
      <c r="AY22" s="12">
        <v>1</v>
      </c>
      <c r="AZ22" s="12"/>
      <c r="BA22" s="12">
        <v>1</v>
      </c>
      <c r="BE22" s="12"/>
      <c r="BF22" s="12">
        <v>1</v>
      </c>
      <c r="BG22" s="12"/>
      <c r="BH22" s="12">
        <v>1</v>
      </c>
      <c r="BL22" s="12"/>
      <c r="BM22" s="12">
        <v>1</v>
      </c>
      <c r="BN22" s="12"/>
      <c r="BO22" s="12">
        <v>1</v>
      </c>
    </row>
    <row r="23" spans="2:67" outlineLevel="1">
      <c r="B23" t="s">
        <v>29</v>
      </c>
      <c r="C23" t="s">
        <v>67</v>
      </c>
      <c r="E23" s="11"/>
      <c r="F23" t="s">
        <v>77</v>
      </c>
      <c r="G23" s="12">
        <v>0.08</v>
      </c>
      <c r="I23" s="11">
        <f t="shared" si="2"/>
        <v>8</v>
      </c>
      <c r="J23" s="13">
        <f t="shared" si="3"/>
        <v>0</v>
      </c>
      <c r="K23" s="13">
        <f t="shared" si="3"/>
        <v>0</v>
      </c>
      <c r="L23" s="11"/>
      <c r="O23" s="12"/>
      <c r="P23" s="12"/>
      <c r="Q23" s="12"/>
      <c r="R23" s="12"/>
      <c r="V23" s="12"/>
      <c r="W23" s="12"/>
      <c r="X23" s="12"/>
      <c r="Y23" s="12"/>
      <c r="AB23">
        <v>2</v>
      </c>
      <c r="AC23" s="12"/>
      <c r="AD23" s="12">
        <v>0.5</v>
      </c>
      <c r="AE23" s="12"/>
      <c r="AF23" s="12">
        <v>0.5</v>
      </c>
      <c r="AI23">
        <v>2</v>
      </c>
      <c r="AJ23" s="12"/>
      <c r="AK23" s="12">
        <v>0.8</v>
      </c>
      <c r="AL23" s="12"/>
      <c r="AM23" s="12">
        <v>0.8</v>
      </c>
      <c r="AQ23" s="12"/>
      <c r="AR23" s="12">
        <v>0.8</v>
      </c>
      <c r="AS23" s="12"/>
      <c r="AT23" s="12">
        <v>0.8</v>
      </c>
      <c r="AW23">
        <v>4</v>
      </c>
      <c r="AX23" s="12"/>
      <c r="AY23" s="12">
        <v>1</v>
      </c>
      <c r="AZ23" s="12"/>
      <c r="BA23" s="12">
        <v>1</v>
      </c>
      <c r="BE23" s="12"/>
      <c r="BF23" s="12">
        <v>1</v>
      </c>
      <c r="BG23" s="12"/>
      <c r="BH23" s="12">
        <v>1</v>
      </c>
      <c r="BL23" s="12"/>
      <c r="BM23" s="12">
        <v>1</v>
      </c>
      <c r="BN23" s="12"/>
      <c r="BO23" s="12">
        <v>1</v>
      </c>
    </row>
    <row r="24" spans="2:67" outlineLevel="1">
      <c r="B24" t="s">
        <v>29</v>
      </c>
      <c r="C24" t="s">
        <v>67</v>
      </c>
      <c r="E24" s="11"/>
      <c r="F24" t="s">
        <v>78</v>
      </c>
      <c r="G24" s="12">
        <v>0.08</v>
      </c>
      <c r="I24" s="11">
        <f t="shared" si="2"/>
        <v>8</v>
      </c>
      <c r="J24" s="13">
        <f t="shared" si="3"/>
        <v>0</v>
      </c>
      <c r="K24" s="13">
        <f t="shared" si="3"/>
        <v>0</v>
      </c>
      <c r="L24" s="11"/>
      <c r="O24" s="12"/>
      <c r="P24" s="12"/>
      <c r="Q24" s="12"/>
      <c r="R24" s="12"/>
      <c r="V24" s="12"/>
      <c r="W24" s="12"/>
      <c r="X24" s="12"/>
      <c r="Y24" s="12"/>
      <c r="AB24">
        <v>2</v>
      </c>
      <c r="AC24" s="12"/>
      <c r="AD24" s="12">
        <v>0.5</v>
      </c>
      <c r="AE24" s="12"/>
      <c r="AF24" s="12">
        <v>0.5</v>
      </c>
      <c r="AJ24" s="12"/>
      <c r="AK24" s="12">
        <v>0.5</v>
      </c>
      <c r="AL24" s="12"/>
      <c r="AM24" s="12">
        <v>0.5</v>
      </c>
      <c r="AP24">
        <v>2</v>
      </c>
      <c r="AQ24" s="12"/>
      <c r="AR24" s="12">
        <v>0.8</v>
      </c>
      <c r="AS24" s="12"/>
      <c r="AT24" s="12">
        <v>0.8</v>
      </c>
      <c r="AW24">
        <v>4</v>
      </c>
      <c r="AX24" s="12"/>
      <c r="AY24" s="12">
        <v>1</v>
      </c>
      <c r="AZ24" s="12"/>
      <c r="BA24" s="12">
        <v>1</v>
      </c>
      <c r="BE24" s="12"/>
      <c r="BF24" s="12">
        <v>1</v>
      </c>
      <c r="BG24" s="12"/>
      <c r="BH24" s="12">
        <v>1</v>
      </c>
      <c r="BL24" s="12"/>
      <c r="BM24" s="12">
        <v>1</v>
      </c>
      <c r="BN24" s="12"/>
      <c r="BO24" s="12">
        <v>1</v>
      </c>
    </row>
    <row r="25" spans="2:67" outlineLevel="1">
      <c r="B25" t="s">
        <v>29</v>
      </c>
      <c r="C25" t="s">
        <v>67</v>
      </c>
      <c r="E25" s="11"/>
      <c r="F25" t="s">
        <v>79</v>
      </c>
      <c r="G25" s="12">
        <v>0.09</v>
      </c>
      <c r="I25" s="11">
        <f t="shared" si="2"/>
        <v>9</v>
      </c>
      <c r="J25" s="13">
        <f t="shared" si="3"/>
        <v>0</v>
      </c>
      <c r="K25" s="13">
        <f t="shared" si="3"/>
        <v>0</v>
      </c>
      <c r="L25" s="11"/>
      <c r="O25" s="12"/>
      <c r="P25" s="12"/>
      <c r="Q25" s="12"/>
      <c r="R25" s="12"/>
      <c r="V25" s="12"/>
      <c r="W25" s="12"/>
      <c r="X25" s="12"/>
      <c r="Y25" s="12"/>
      <c r="AC25" s="12"/>
      <c r="AD25" s="12"/>
      <c r="AE25" s="12"/>
      <c r="AF25" s="12"/>
      <c r="AI25">
        <v>2</v>
      </c>
      <c r="AJ25" s="12"/>
      <c r="AK25" s="12">
        <v>0.5</v>
      </c>
      <c r="AL25" s="12"/>
      <c r="AM25" s="12">
        <v>0.5</v>
      </c>
      <c r="AP25">
        <v>2</v>
      </c>
      <c r="AQ25" s="12"/>
      <c r="AR25" s="12">
        <v>0.8</v>
      </c>
      <c r="AS25" s="12"/>
      <c r="AT25" s="12">
        <v>0.8</v>
      </c>
      <c r="AX25" s="12"/>
      <c r="AY25" s="12">
        <v>0.8</v>
      </c>
      <c r="AZ25" s="12"/>
      <c r="BA25" s="12">
        <v>0.8</v>
      </c>
      <c r="BD25">
        <v>5</v>
      </c>
      <c r="BE25" s="12"/>
      <c r="BF25" s="12">
        <v>1</v>
      </c>
      <c r="BG25" s="12"/>
      <c r="BH25" s="12">
        <v>1</v>
      </c>
      <c r="BL25" s="12"/>
      <c r="BM25" s="12">
        <v>1</v>
      </c>
      <c r="BN25" s="12"/>
      <c r="BO25" s="12">
        <v>1</v>
      </c>
    </row>
    <row r="26" spans="2:67" outlineLevel="1">
      <c r="B26" t="s">
        <v>29</v>
      </c>
      <c r="C26" t="s">
        <v>67</v>
      </c>
      <c r="E26" s="11"/>
      <c r="F26" t="s">
        <v>80</v>
      </c>
      <c r="G26" s="12">
        <v>0.09</v>
      </c>
      <c r="I26" s="11">
        <f t="shared" si="2"/>
        <v>11</v>
      </c>
      <c r="J26" s="13">
        <f t="shared" si="3"/>
        <v>0</v>
      </c>
      <c r="K26" s="13">
        <f t="shared" si="3"/>
        <v>0</v>
      </c>
      <c r="L26" s="11"/>
      <c r="O26" s="12"/>
      <c r="P26" s="12"/>
      <c r="Q26" s="12"/>
      <c r="R26" s="12"/>
      <c r="V26" s="12"/>
      <c r="W26" s="12"/>
      <c r="X26" s="12"/>
      <c r="Y26" s="12"/>
      <c r="AC26" s="12"/>
      <c r="AD26" s="12"/>
      <c r="AE26" s="12"/>
      <c r="AF26" s="12"/>
      <c r="AI26">
        <v>2</v>
      </c>
      <c r="AJ26" s="12"/>
      <c r="AK26" s="12">
        <v>0.5</v>
      </c>
      <c r="AL26" s="12"/>
      <c r="AM26" s="12">
        <v>0.5</v>
      </c>
      <c r="AQ26" s="12"/>
      <c r="AR26" s="12">
        <v>0.5</v>
      </c>
      <c r="AS26" s="12"/>
      <c r="AT26" s="12">
        <v>0.5</v>
      </c>
      <c r="AW26">
        <v>4</v>
      </c>
      <c r="AX26" s="12"/>
      <c r="AY26" s="12">
        <v>0.8</v>
      </c>
      <c r="AZ26" s="12"/>
      <c r="BA26" s="12">
        <v>0.8</v>
      </c>
      <c r="BD26">
        <v>5</v>
      </c>
      <c r="BE26" s="12"/>
      <c r="BF26" s="12">
        <v>1</v>
      </c>
      <c r="BG26" s="12"/>
      <c r="BH26" s="12">
        <v>1</v>
      </c>
      <c r="BL26" s="12"/>
      <c r="BM26" s="12">
        <v>1</v>
      </c>
      <c r="BN26" s="12"/>
      <c r="BO26" s="12">
        <v>1</v>
      </c>
    </row>
    <row r="27" spans="2:67" outlineLevel="1">
      <c r="B27" t="s">
        <v>29</v>
      </c>
      <c r="C27" t="s">
        <v>67</v>
      </c>
      <c r="E27" s="11"/>
      <c r="F27" t="s">
        <v>81</v>
      </c>
      <c r="G27" s="12">
        <v>0.09</v>
      </c>
      <c r="I27" s="11">
        <f t="shared" si="2"/>
        <v>11</v>
      </c>
      <c r="J27" s="13">
        <f t="shared" si="3"/>
        <v>0</v>
      </c>
      <c r="K27" s="13">
        <f t="shared" si="3"/>
        <v>0</v>
      </c>
      <c r="L27" s="11"/>
      <c r="O27" s="12"/>
      <c r="P27" s="12"/>
      <c r="Q27" s="12"/>
      <c r="R27" s="12"/>
      <c r="V27" s="12"/>
      <c r="W27" s="12"/>
      <c r="X27" s="12"/>
      <c r="Y27" s="12"/>
      <c r="AC27" s="12"/>
      <c r="AD27" s="12"/>
      <c r="AE27" s="12"/>
      <c r="AF27" s="12"/>
      <c r="AJ27" s="12"/>
      <c r="AK27" s="12"/>
      <c r="AL27" s="12"/>
      <c r="AM27" s="12"/>
      <c r="AP27">
        <v>2</v>
      </c>
      <c r="AQ27" s="12"/>
      <c r="AR27" s="12">
        <v>0.5</v>
      </c>
      <c r="AS27" s="12"/>
      <c r="AT27" s="12">
        <v>0.5</v>
      </c>
      <c r="AW27">
        <v>4</v>
      </c>
      <c r="AX27" s="12"/>
      <c r="AY27" s="12">
        <v>0.8</v>
      </c>
      <c r="AZ27" s="12"/>
      <c r="BA27" s="12">
        <v>0.8</v>
      </c>
      <c r="BD27">
        <v>5</v>
      </c>
      <c r="BE27" s="12"/>
      <c r="BF27" s="12">
        <v>1</v>
      </c>
      <c r="BG27" s="12"/>
      <c r="BH27" s="12">
        <v>1</v>
      </c>
      <c r="BL27" s="12"/>
      <c r="BM27" s="12">
        <v>1</v>
      </c>
      <c r="BN27" s="12"/>
      <c r="BO27" s="12">
        <v>1</v>
      </c>
    </row>
    <row r="28" spans="2:67" outlineLevel="1">
      <c r="B28" t="s">
        <v>29</v>
      </c>
      <c r="C28" t="s">
        <v>67</v>
      </c>
      <c r="E28" s="11"/>
      <c r="F28" t="s">
        <v>82</v>
      </c>
      <c r="G28" s="12">
        <v>0.09</v>
      </c>
      <c r="I28" s="11">
        <f t="shared" si="2"/>
        <v>14</v>
      </c>
      <c r="J28" s="13">
        <f t="shared" si="3"/>
        <v>0</v>
      </c>
      <c r="K28" s="13">
        <f t="shared" si="3"/>
        <v>0</v>
      </c>
      <c r="L28" s="11"/>
      <c r="O28" s="12"/>
      <c r="P28" s="12"/>
      <c r="Q28" s="12"/>
      <c r="R28" s="12"/>
      <c r="V28" s="12"/>
      <c r="W28" s="12"/>
      <c r="X28" s="12"/>
      <c r="Y28" s="12"/>
      <c r="AC28" s="12"/>
      <c r="AD28" s="12"/>
      <c r="AE28" s="12"/>
      <c r="AF28" s="12"/>
      <c r="AJ28" s="12"/>
      <c r="AK28" s="12"/>
      <c r="AL28" s="12"/>
      <c r="AM28" s="12"/>
      <c r="AQ28" s="12"/>
      <c r="AR28" s="12"/>
      <c r="AS28" s="12"/>
      <c r="AT28" s="12"/>
      <c r="AW28">
        <v>4</v>
      </c>
      <c r="AX28" s="12"/>
      <c r="AY28" s="12">
        <v>0.5</v>
      </c>
      <c r="AZ28" s="12"/>
      <c r="BA28" s="12">
        <v>0.5</v>
      </c>
      <c r="BD28">
        <v>10</v>
      </c>
      <c r="BE28" s="12"/>
      <c r="BF28" s="12">
        <v>1</v>
      </c>
      <c r="BG28" s="12"/>
      <c r="BH28" s="12">
        <v>1</v>
      </c>
      <c r="BL28" s="12"/>
      <c r="BM28" s="12">
        <v>1</v>
      </c>
      <c r="BN28" s="12"/>
      <c r="BO28" s="12">
        <v>1</v>
      </c>
    </row>
    <row r="30" spans="2:67">
      <c r="B30" t="s">
        <v>28</v>
      </c>
      <c r="C30" t="s">
        <v>68</v>
      </c>
      <c r="E30" s="11">
        <v>8</v>
      </c>
      <c r="G30" s="12">
        <f>+SUM(G31:G38)</f>
        <v>1</v>
      </c>
      <c r="I30" s="14">
        <f>+SUM(I31:I38)</f>
        <v>97</v>
      </c>
      <c r="J30" s="13">
        <f>+SUMPRODUCT(G31:G38,J31:J38)</f>
        <v>0</v>
      </c>
      <c r="K30" s="13">
        <f>+SUMPRODUCT(G31:G38,K31:K38)</f>
        <v>0</v>
      </c>
      <c r="L30" s="11"/>
      <c r="N30" s="14">
        <f>+SUM(N31:N38)</f>
        <v>16</v>
      </c>
      <c r="U30" s="14">
        <f>+SUM(U31:U38)</f>
        <v>16</v>
      </c>
      <c r="AB30" s="14">
        <f>+SUM(AB31:AB38)</f>
        <v>16</v>
      </c>
      <c r="AI30" s="14">
        <f>+SUM(AI31:AI38)</f>
        <v>16</v>
      </c>
      <c r="AP30" s="14">
        <f>+SUM(AP31:AP38)</f>
        <v>16</v>
      </c>
      <c r="AW30" s="14">
        <f>+SUM(AW31:AW38)</f>
        <v>17</v>
      </c>
      <c r="BD30" s="14">
        <f>+SUM(BD31:BD38)</f>
        <v>0</v>
      </c>
      <c r="BK30" s="14">
        <f>+SUM(BK31:BK38)</f>
        <v>0</v>
      </c>
    </row>
    <row r="31" spans="2:67" outlineLevel="1">
      <c r="B31" t="s">
        <v>29</v>
      </c>
      <c r="C31" t="s">
        <v>68</v>
      </c>
      <c r="E31" s="11"/>
      <c r="F31" t="s">
        <v>83</v>
      </c>
      <c r="G31" s="12">
        <v>0.125</v>
      </c>
      <c r="I31" s="11">
        <f t="shared" ref="I31:I38" si="4">+SUMIF($N$3:$AAG$3,I$3,$N31:$AAG31)</f>
        <v>13</v>
      </c>
      <c r="J31" s="13">
        <f t="shared" ref="J31:K38" si="5">+_xlfn.MAXIFS($N31:$ZM31,$N$3:$ZM$3,J$3)</f>
        <v>0</v>
      </c>
      <c r="K31" s="13">
        <f t="shared" si="5"/>
        <v>0</v>
      </c>
      <c r="L31" s="11"/>
      <c r="N31">
        <v>8</v>
      </c>
      <c r="O31" s="12"/>
      <c r="P31" s="12">
        <v>0.8</v>
      </c>
      <c r="Q31" s="12"/>
      <c r="R31" s="12">
        <v>0.8</v>
      </c>
      <c r="U31">
        <v>4</v>
      </c>
      <c r="V31" s="12"/>
      <c r="W31" s="12">
        <v>1</v>
      </c>
      <c r="X31" s="12"/>
      <c r="Y31" s="12">
        <v>1</v>
      </c>
      <c r="AC31" s="12"/>
      <c r="AD31" s="12">
        <v>1</v>
      </c>
      <c r="AE31" s="12"/>
      <c r="AF31" s="12">
        <v>1</v>
      </c>
      <c r="AJ31" s="12"/>
      <c r="AK31" s="12">
        <v>1</v>
      </c>
      <c r="AL31" s="12"/>
      <c r="AM31" s="12">
        <v>1</v>
      </c>
      <c r="AQ31" s="12"/>
      <c r="AR31" s="12">
        <v>1</v>
      </c>
      <c r="AS31" s="12"/>
      <c r="AT31" s="12">
        <v>1</v>
      </c>
      <c r="AW31">
        <v>1</v>
      </c>
      <c r="AX31" s="12"/>
      <c r="AY31" s="12">
        <v>1</v>
      </c>
      <c r="AZ31" s="12"/>
      <c r="BA31" s="12">
        <v>1</v>
      </c>
      <c r="BE31" s="12"/>
      <c r="BF31" s="12">
        <v>1</v>
      </c>
      <c r="BG31" s="12"/>
      <c r="BH31" s="12">
        <v>1</v>
      </c>
      <c r="BL31" s="12"/>
      <c r="BM31" s="12"/>
      <c r="BN31" s="12"/>
      <c r="BO31" s="12"/>
    </row>
    <row r="32" spans="2:67" outlineLevel="1">
      <c r="B32" t="s">
        <v>29</v>
      </c>
      <c r="C32" t="s">
        <v>68</v>
      </c>
      <c r="E32" s="11"/>
      <c r="F32" t="s">
        <v>84</v>
      </c>
      <c r="G32" s="12">
        <v>0.125</v>
      </c>
      <c r="I32" s="11">
        <f t="shared" si="4"/>
        <v>9</v>
      </c>
      <c r="J32" s="13">
        <f t="shared" si="5"/>
        <v>0</v>
      </c>
      <c r="K32" s="13">
        <f t="shared" si="5"/>
        <v>0</v>
      </c>
      <c r="L32" s="11"/>
      <c r="N32">
        <v>4</v>
      </c>
      <c r="O32" s="12"/>
      <c r="P32" s="12">
        <v>0.8</v>
      </c>
      <c r="Q32" s="12"/>
      <c r="R32" s="12">
        <v>0.8</v>
      </c>
      <c r="V32" s="12"/>
      <c r="W32" s="12">
        <v>0.8</v>
      </c>
      <c r="X32" s="12"/>
      <c r="Y32" s="12">
        <v>0.8</v>
      </c>
      <c r="AB32">
        <v>4</v>
      </c>
      <c r="AC32" s="12"/>
      <c r="AD32" s="12">
        <v>1</v>
      </c>
      <c r="AE32" s="12"/>
      <c r="AF32" s="12">
        <v>1</v>
      </c>
      <c r="AJ32" s="12"/>
      <c r="AK32" s="12">
        <v>1</v>
      </c>
      <c r="AL32" s="12"/>
      <c r="AM32" s="12">
        <v>1</v>
      </c>
      <c r="AQ32" s="12"/>
      <c r="AR32" s="12">
        <v>1</v>
      </c>
      <c r="AS32" s="12"/>
      <c r="AT32" s="12">
        <v>1</v>
      </c>
      <c r="AW32">
        <v>1</v>
      </c>
      <c r="AX32" s="12"/>
      <c r="AY32" s="12">
        <v>1</v>
      </c>
      <c r="AZ32" s="12"/>
      <c r="BA32" s="12">
        <v>1</v>
      </c>
      <c r="BE32" s="12"/>
      <c r="BF32" s="12">
        <v>1</v>
      </c>
      <c r="BG32" s="12"/>
      <c r="BH32" s="12">
        <v>1</v>
      </c>
      <c r="BL32" s="12"/>
      <c r="BM32" s="12"/>
      <c r="BN32" s="12"/>
      <c r="BO32" s="12"/>
    </row>
    <row r="33" spans="2:67" outlineLevel="1">
      <c r="B33" t="s">
        <v>29</v>
      </c>
      <c r="C33" t="s">
        <v>68</v>
      </c>
      <c r="E33" s="11"/>
      <c r="F33" t="s">
        <v>85</v>
      </c>
      <c r="G33" s="12">
        <v>0.125</v>
      </c>
      <c r="I33" s="11">
        <f t="shared" si="4"/>
        <v>13</v>
      </c>
      <c r="J33" s="13">
        <f t="shared" si="5"/>
        <v>0</v>
      </c>
      <c r="K33" s="13">
        <f t="shared" si="5"/>
        <v>0</v>
      </c>
      <c r="L33" s="11"/>
      <c r="N33">
        <v>4</v>
      </c>
      <c r="O33" s="12"/>
      <c r="P33" s="12">
        <v>0.5</v>
      </c>
      <c r="Q33" s="12"/>
      <c r="R33" s="12">
        <v>0.5</v>
      </c>
      <c r="U33">
        <v>4</v>
      </c>
      <c r="V33" s="12"/>
      <c r="W33" s="12">
        <v>0.8</v>
      </c>
      <c r="X33" s="12"/>
      <c r="Y33" s="12">
        <v>0.8</v>
      </c>
      <c r="AC33" s="12"/>
      <c r="AD33" s="12">
        <v>0.8</v>
      </c>
      <c r="AE33" s="12"/>
      <c r="AF33" s="12">
        <v>0.8</v>
      </c>
      <c r="AI33">
        <v>4</v>
      </c>
      <c r="AJ33" s="12"/>
      <c r="AK33" s="12">
        <v>1</v>
      </c>
      <c r="AL33" s="12"/>
      <c r="AM33" s="12">
        <v>1</v>
      </c>
      <c r="AQ33" s="12"/>
      <c r="AR33" s="12">
        <v>1</v>
      </c>
      <c r="AS33" s="12"/>
      <c r="AT33" s="12">
        <v>1</v>
      </c>
      <c r="AW33">
        <v>1</v>
      </c>
      <c r="AX33" s="12"/>
      <c r="AY33" s="12">
        <v>1</v>
      </c>
      <c r="AZ33" s="12"/>
      <c r="BA33" s="12">
        <v>1</v>
      </c>
      <c r="BE33" s="12"/>
      <c r="BF33" s="12">
        <v>1</v>
      </c>
      <c r="BG33" s="12"/>
      <c r="BH33" s="12">
        <v>1</v>
      </c>
      <c r="BL33" s="12"/>
      <c r="BM33" s="12"/>
      <c r="BN33" s="12"/>
      <c r="BO33" s="12"/>
    </row>
    <row r="34" spans="2:67" outlineLevel="1">
      <c r="B34" t="s">
        <v>29</v>
      </c>
      <c r="C34" t="s">
        <v>68</v>
      </c>
      <c r="E34" s="11"/>
      <c r="F34" t="s">
        <v>86</v>
      </c>
      <c r="G34" s="12">
        <v>0.125</v>
      </c>
      <c r="I34" s="11">
        <f t="shared" si="4"/>
        <v>13</v>
      </c>
      <c r="J34" s="13">
        <f t="shared" si="5"/>
        <v>0</v>
      </c>
      <c r="K34" s="13">
        <f t="shared" si="5"/>
        <v>0</v>
      </c>
      <c r="L34" s="11"/>
      <c r="O34" s="12"/>
      <c r="P34" s="12"/>
      <c r="Q34" s="12"/>
      <c r="R34" s="12"/>
      <c r="U34">
        <v>4</v>
      </c>
      <c r="V34" s="12"/>
      <c r="W34" s="12">
        <v>0.5</v>
      </c>
      <c r="X34" s="12"/>
      <c r="Y34" s="12">
        <v>0.5</v>
      </c>
      <c r="AB34">
        <v>4</v>
      </c>
      <c r="AC34" s="12"/>
      <c r="AD34" s="12">
        <v>0.8</v>
      </c>
      <c r="AE34" s="12"/>
      <c r="AF34" s="12">
        <v>0.8</v>
      </c>
      <c r="AJ34" s="12"/>
      <c r="AK34" s="12">
        <v>0.8</v>
      </c>
      <c r="AL34" s="12"/>
      <c r="AM34" s="12">
        <v>0.8</v>
      </c>
      <c r="AP34">
        <v>4</v>
      </c>
      <c r="AQ34" s="12"/>
      <c r="AR34" s="12">
        <v>1</v>
      </c>
      <c r="AS34" s="12"/>
      <c r="AT34" s="12">
        <v>1</v>
      </c>
      <c r="AW34">
        <v>1</v>
      </c>
      <c r="AX34" s="12"/>
      <c r="AY34" s="12">
        <v>1</v>
      </c>
      <c r="AZ34" s="12"/>
      <c r="BA34" s="12">
        <v>1</v>
      </c>
      <c r="BE34" s="12"/>
      <c r="BF34" s="12">
        <v>1</v>
      </c>
      <c r="BG34" s="12"/>
      <c r="BH34" s="12">
        <v>1</v>
      </c>
      <c r="BL34" s="12"/>
      <c r="BM34" s="12"/>
      <c r="BN34" s="12"/>
      <c r="BO34" s="12"/>
    </row>
    <row r="35" spans="2:67" outlineLevel="1">
      <c r="B35" t="s">
        <v>29</v>
      </c>
      <c r="C35" t="s">
        <v>68</v>
      </c>
      <c r="E35" s="11"/>
      <c r="F35" t="s">
        <v>87</v>
      </c>
      <c r="G35" s="12">
        <v>0.125</v>
      </c>
      <c r="I35" s="11">
        <f t="shared" si="4"/>
        <v>13</v>
      </c>
      <c r="J35" s="13">
        <f t="shared" si="5"/>
        <v>0</v>
      </c>
      <c r="K35" s="13">
        <f t="shared" si="5"/>
        <v>0</v>
      </c>
      <c r="L35" s="11"/>
      <c r="O35" s="12"/>
      <c r="P35" s="12"/>
      <c r="Q35" s="12"/>
      <c r="R35" s="12"/>
      <c r="U35">
        <v>4</v>
      </c>
      <c r="V35" s="12"/>
      <c r="W35" s="12">
        <v>0.5</v>
      </c>
      <c r="X35" s="12"/>
      <c r="Y35" s="12">
        <v>0.5</v>
      </c>
      <c r="AC35" s="12"/>
      <c r="AD35" s="12">
        <v>0.5</v>
      </c>
      <c r="AE35" s="12"/>
      <c r="AF35" s="12">
        <v>0.5</v>
      </c>
      <c r="AI35">
        <v>4</v>
      </c>
      <c r="AJ35" s="12"/>
      <c r="AK35" s="12">
        <v>0.8</v>
      </c>
      <c r="AL35" s="12"/>
      <c r="AM35" s="12">
        <v>0.8</v>
      </c>
      <c r="AP35">
        <v>4</v>
      </c>
      <c r="AQ35" s="12"/>
      <c r="AR35" s="12">
        <v>1</v>
      </c>
      <c r="AS35" s="12"/>
      <c r="AT35" s="12">
        <v>1</v>
      </c>
      <c r="AW35">
        <v>1</v>
      </c>
      <c r="AX35" s="12"/>
      <c r="AY35" s="12">
        <v>1</v>
      </c>
      <c r="AZ35" s="12"/>
      <c r="BA35" s="12">
        <v>1</v>
      </c>
      <c r="BE35" s="12"/>
      <c r="BF35" s="12">
        <v>1</v>
      </c>
      <c r="BG35" s="12"/>
      <c r="BH35" s="12">
        <v>1</v>
      </c>
      <c r="BL35" s="12"/>
      <c r="BM35" s="12"/>
      <c r="BN35" s="12"/>
      <c r="BO35" s="12"/>
    </row>
    <row r="36" spans="2:67" outlineLevel="1">
      <c r="B36" t="s">
        <v>29</v>
      </c>
      <c r="C36" t="s">
        <v>68</v>
      </c>
      <c r="E36" s="11"/>
      <c r="F36" t="s">
        <v>88</v>
      </c>
      <c r="G36" s="12">
        <v>0.125</v>
      </c>
      <c r="I36" s="11">
        <f t="shared" si="4"/>
        <v>12</v>
      </c>
      <c r="J36" s="13">
        <f t="shared" si="5"/>
        <v>0</v>
      </c>
      <c r="K36" s="13">
        <f t="shared" si="5"/>
        <v>0</v>
      </c>
      <c r="L36" s="11"/>
      <c r="O36" s="12"/>
      <c r="P36" s="12"/>
      <c r="Q36" s="12"/>
      <c r="R36" s="12"/>
      <c r="V36" s="12"/>
      <c r="W36" s="12"/>
      <c r="X36" s="12"/>
      <c r="Y36" s="12"/>
      <c r="AB36">
        <v>4</v>
      </c>
      <c r="AC36" s="12"/>
      <c r="AD36" s="12">
        <v>0.5</v>
      </c>
      <c r="AE36" s="12"/>
      <c r="AF36" s="12">
        <v>0.5</v>
      </c>
      <c r="AI36">
        <v>4</v>
      </c>
      <c r="AJ36" s="12"/>
      <c r="AK36" s="12">
        <v>0.8</v>
      </c>
      <c r="AL36" s="12"/>
      <c r="AM36" s="12">
        <v>0.8</v>
      </c>
      <c r="AQ36" s="12"/>
      <c r="AR36" s="12">
        <v>0.8</v>
      </c>
      <c r="AS36" s="12"/>
      <c r="AT36" s="12">
        <v>0.8</v>
      </c>
      <c r="AW36">
        <v>4</v>
      </c>
      <c r="AX36" s="12"/>
      <c r="AY36" s="12">
        <v>1</v>
      </c>
      <c r="AZ36" s="12"/>
      <c r="BA36" s="12">
        <v>1</v>
      </c>
      <c r="BE36" s="12"/>
      <c r="BF36" s="12">
        <v>1</v>
      </c>
      <c r="BG36" s="12"/>
      <c r="BH36" s="12">
        <v>1</v>
      </c>
      <c r="BL36" s="12"/>
      <c r="BM36" s="12"/>
      <c r="BN36" s="12"/>
      <c r="BO36" s="12"/>
    </row>
    <row r="37" spans="2:67" outlineLevel="1">
      <c r="B37" t="s">
        <v>29</v>
      </c>
      <c r="C37" t="s">
        <v>68</v>
      </c>
      <c r="E37" s="11"/>
      <c r="F37" t="s">
        <v>89</v>
      </c>
      <c r="G37" s="12">
        <v>0.125</v>
      </c>
      <c r="I37" s="11">
        <f t="shared" si="4"/>
        <v>12</v>
      </c>
      <c r="J37" s="13">
        <f t="shared" si="5"/>
        <v>0</v>
      </c>
      <c r="K37" s="13">
        <f t="shared" si="5"/>
        <v>0</v>
      </c>
      <c r="L37" s="11"/>
      <c r="O37" s="12"/>
      <c r="P37" s="12"/>
      <c r="Q37" s="12"/>
      <c r="R37" s="12"/>
      <c r="V37" s="12"/>
      <c r="W37" s="12"/>
      <c r="X37" s="12"/>
      <c r="Y37" s="12"/>
      <c r="AB37">
        <v>4</v>
      </c>
      <c r="AC37" s="12"/>
      <c r="AD37" s="12">
        <v>0.5</v>
      </c>
      <c r="AE37" s="12"/>
      <c r="AF37" s="12">
        <v>0.5</v>
      </c>
      <c r="AJ37" s="12"/>
      <c r="AK37" s="12">
        <v>0.5</v>
      </c>
      <c r="AL37" s="12"/>
      <c r="AM37" s="12">
        <v>0.5</v>
      </c>
      <c r="AP37">
        <v>4</v>
      </c>
      <c r="AQ37" s="12"/>
      <c r="AR37" s="12">
        <v>0.8</v>
      </c>
      <c r="AS37" s="12"/>
      <c r="AT37" s="12">
        <v>0.8</v>
      </c>
      <c r="AW37">
        <v>4</v>
      </c>
      <c r="AX37" s="12"/>
      <c r="AY37" s="12">
        <v>1</v>
      </c>
      <c r="AZ37" s="12"/>
      <c r="BA37" s="12">
        <v>1</v>
      </c>
      <c r="BE37" s="12"/>
      <c r="BF37" s="12">
        <v>1</v>
      </c>
      <c r="BG37" s="12"/>
      <c r="BH37" s="12">
        <v>1</v>
      </c>
      <c r="BL37" s="12"/>
      <c r="BM37" s="12"/>
      <c r="BN37" s="12"/>
      <c r="BO37" s="12"/>
    </row>
    <row r="38" spans="2:67" outlineLevel="1">
      <c r="B38" t="s">
        <v>29</v>
      </c>
      <c r="C38" t="s">
        <v>68</v>
      </c>
      <c r="E38" s="11"/>
      <c r="F38" t="s">
        <v>90</v>
      </c>
      <c r="G38" s="12">
        <v>0.125</v>
      </c>
      <c r="I38" s="11">
        <f t="shared" si="4"/>
        <v>12</v>
      </c>
      <c r="J38" s="13">
        <f t="shared" si="5"/>
        <v>0</v>
      </c>
      <c r="K38" s="13">
        <f t="shared" si="5"/>
        <v>0</v>
      </c>
      <c r="L38" s="11"/>
      <c r="O38" s="12"/>
      <c r="P38" s="12"/>
      <c r="Q38" s="12"/>
      <c r="R38" s="12"/>
      <c r="V38" s="12"/>
      <c r="W38" s="12"/>
      <c r="X38" s="12"/>
      <c r="Y38" s="12"/>
      <c r="AC38" s="12"/>
      <c r="AD38" s="12"/>
      <c r="AE38" s="12"/>
      <c r="AF38" s="12"/>
      <c r="AI38">
        <v>4</v>
      </c>
      <c r="AJ38" s="12"/>
      <c r="AK38" s="12">
        <v>0.5</v>
      </c>
      <c r="AL38" s="12"/>
      <c r="AM38" s="12">
        <v>0.5</v>
      </c>
      <c r="AP38">
        <v>4</v>
      </c>
      <c r="AQ38" s="12"/>
      <c r="AR38" s="12">
        <v>0.8</v>
      </c>
      <c r="AS38" s="12"/>
      <c r="AT38" s="12">
        <v>0.8</v>
      </c>
      <c r="AW38">
        <v>4</v>
      </c>
      <c r="AX38" s="12"/>
      <c r="AY38" s="12">
        <v>1</v>
      </c>
      <c r="AZ38" s="12"/>
      <c r="BA38" s="12">
        <v>1</v>
      </c>
      <c r="BE38" s="12"/>
      <c r="BF38" s="12">
        <v>1</v>
      </c>
      <c r="BG38" s="12"/>
      <c r="BH38" s="12">
        <v>1</v>
      </c>
      <c r="BL38" s="12"/>
      <c r="BM38" s="12"/>
      <c r="BN38" s="12"/>
      <c r="BO38" s="12"/>
    </row>
    <row r="40" spans="2:67">
      <c r="B40" t="s">
        <v>28</v>
      </c>
      <c r="C40" t="s">
        <v>69</v>
      </c>
      <c r="E40" s="11">
        <v>6</v>
      </c>
      <c r="G40" s="12">
        <f>+SUM(G41:G50)</f>
        <v>1</v>
      </c>
      <c r="I40" s="14">
        <f>+SUM(I41:I50)</f>
        <v>60</v>
      </c>
      <c r="J40" s="13">
        <f>+SUMPRODUCT(G41:G50,J41:J50)</f>
        <v>0</v>
      </c>
      <c r="K40" s="13">
        <f>+SUMPRODUCT(G41:G50,K41:K50)</f>
        <v>0</v>
      </c>
      <c r="L40" s="11"/>
      <c r="N40" s="14">
        <f>+SUM(N41:N50)</f>
        <v>10</v>
      </c>
      <c r="U40" s="14">
        <f>+SUM(U41:U50)</f>
        <v>10</v>
      </c>
      <c r="AB40" s="14">
        <f>+SUM(AB41:AB50)</f>
        <v>10</v>
      </c>
      <c r="AI40" s="14">
        <f>+SUM(AI41:AI50)</f>
        <v>10</v>
      </c>
      <c r="AP40" s="14">
        <f>+SUM(AP41:AP50)</f>
        <v>10</v>
      </c>
      <c r="AW40" s="14">
        <f>+SUM(AW41:AW50)</f>
        <v>10</v>
      </c>
      <c r="BD40" s="14">
        <f>+SUM(BD41:BD50)</f>
        <v>0</v>
      </c>
      <c r="BK40" s="14">
        <f>+SUM(BK41:BK50)</f>
        <v>0</v>
      </c>
    </row>
    <row r="41" spans="2:67" outlineLevel="1">
      <c r="B41" t="s">
        <v>29</v>
      </c>
      <c r="C41" t="s">
        <v>69</v>
      </c>
      <c r="E41" s="11"/>
      <c r="F41" t="s">
        <v>91</v>
      </c>
      <c r="G41" s="12">
        <v>6.25E-2</v>
      </c>
      <c r="I41" s="11">
        <f t="shared" ref="I41:I50" si="6">+SUMIF($N$3:$AAG$3,I$3,$N41:$AAG41)</f>
        <v>6</v>
      </c>
      <c r="J41" s="13">
        <f t="shared" ref="J41:K50" si="7">+_xlfn.MAXIFS($N41:$ZM41,$N$3:$ZM$3,J$3)</f>
        <v>0</v>
      </c>
      <c r="K41" s="13">
        <f t="shared" si="7"/>
        <v>0</v>
      </c>
      <c r="L41" s="11"/>
      <c r="N41">
        <v>2</v>
      </c>
      <c r="O41" s="12"/>
      <c r="P41" s="12">
        <v>0.5</v>
      </c>
      <c r="Q41" s="12"/>
      <c r="R41" s="12">
        <v>0.5</v>
      </c>
      <c r="U41">
        <v>2</v>
      </c>
      <c r="V41" s="12"/>
      <c r="W41" s="12">
        <v>0.8</v>
      </c>
      <c r="X41" s="12"/>
      <c r="Y41" s="12">
        <v>0.8</v>
      </c>
      <c r="AB41">
        <v>2</v>
      </c>
      <c r="AC41" s="12"/>
      <c r="AD41" s="12">
        <v>1</v>
      </c>
      <c r="AE41" s="12"/>
      <c r="AF41" s="12">
        <v>1</v>
      </c>
      <c r="AJ41" s="12"/>
      <c r="AK41" s="12">
        <v>1</v>
      </c>
      <c r="AL41" s="12"/>
      <c r="AM41" s="12">
        <v>1</v>
      </c>
      <c r="AQ41" s="12"/>
      <c r="AR41" s="12">
        <v>1</v>
      </c>
      <c r="AS41" s="12"/>
      <c r="AT41" s="12">
        <v>1</v>
      </c>
      <c r="AX41" s="12"/>
      <c r="AY41" s="12">
        <v>1</v>
      </c>
      <c r="AZ41" s="12"/>
      <c r="BA41" s="12">
        <v>1</v>
      </c>
      <c r="BE41" s="12"/>
      <c r="BF41" s="12">
        <v>1</v>
      </c>
      <c r="BG41" s="12"/>
      <c r="BH41" s="12">
        <v>1</v>
      </c>
      <c r="BL41" s="12"/>
      <c r="BM41" s="12"/>
      <c r="BN41" s="12"/>
      <c r="BO41" s="12"/>
    </row>
    <row r="42" spans="2:67" outlineLevel="1">
      <c r="B42" t="s">
        <v>29</v>
      </c>
      <c r="C42" t="s">
        <v>69</v>
      </c>
      <c r="E42" s="11"/>
      <c r="F42" t="s">
        <v>92</v>
      </c>
      <c r="G42" s="12">
        <v>6.25E-2</v>
      </c>
      <c r="I42" s="11">
        <f t="shared" si="6"/>
        <v>6</v>
      </c>
      <c r="J42" s="13">
        <f t="shared" si="7"/>
        <v>0</v>
      </c>
      <c r="K42" s="13">
        <f t="shared" si="7"/>
        <v>0</v>
      </c>
      <c r="L42" s="11"/>
      <c r="N42">
        <v>2</v>
      </c>
      <c r="O42" s="12"/>
      <c r="P42" s="12">
        <v>0.5</v>
      </c>
      <c r="Q42" s="12"/>
      <c r="R42" s="12">
        <v>0.5</v>
      </c>
      <c r="U42">
        <v>2</v>
      </c>
      <c r="V42" s="12"/>
      <c r="W42" s="12">
        <v>0.8</v>
      </c>
      <c r="X42" s="12"/>
      <c r="Y42" s="12">
        <v>0.8</v>
      </c>
      <c r="AC42" s="12"/>
      <c r="AD42" s="12">
        <v>0.8</v>
      </c>
      <c r="AE42" s="12"/>
      <c r="AF42" s="12">
        <v>0.8</v>
      </c>
      <c r="AI42">
        <v>2</v>
      </c>
      <c r="AJ42" s="12"/>
      <c r="AK42" s="12">
        <v>1</v>
      </c>
      <c r="AL42" s="12"/>
      <c r="AM42" s="12">
        <v>1</v>
      </c>
      <c r="AQ42" s="12"/>
      <c r="AR42" s="12">
        <v>1</v>
      </c>
      <c r="AS42" s="12"/>
      <c r="AT42" s="12">
        <v>1</v>
      </c>
      <c r="AX42" s="12"/>
      <c r="AY42" s="12">
        <v>1</v>
      </c>
      <c r="AZ42" s="12"/>
      <c r="BA42" s="12">
        <v>1</v>
      </c>
      <c r="BE42" s="12"/>
      <c r="BF42" s="12">
        <v>1</v>
      </c>
      <c r="BG42" s="12"/>
      <c r="BH42" s="12">
        <v>1</v>
      </c>
      <c r="BL42" s="12"/>
      <c r="BM42" s="12"/>
      <c r="BN42" s="12"/>
      <c r="BO42" s="12"/>
    </row>
    <row r="43" spans="2:67" outlineLevel="1">
      <c r="B43" t="s">
        <v>29</v>
      </c>
      <c r="C43" t="s">
        <v>69</v>
      </c>
      <c r="E43" s="11"/>
      <c r="F43" t="s">
        <v>93</v>
      </c>
      <c r="G43" s="12">
        <v>6.25E-2</v>
      </c>
      <c r="I43" s="11">
        <f t="shared" si="6"/>
        <v>6</v>
      </c>
      <c r="J43" s="13">
        <f t="shared" si="7"/>
        <v>0</v>
      </c>
      <c r="K43" s="13">
        <f t="shared" si="7"/>
        <v>0</v>
      </c>
      <c r="L43" s="11"/>
      <c r="N43">
        <v>2</v>
      </c>
      <c r="O43" s="12"/>
      <c r="P43" s="12">
        <v>0.5</v>
      </c>
      <c r="Q43" s="12"/>
      <c r="R43" s="12">
        <v>0.5</v>
      </c>
      <c r="V43" s="12"/>
      <c r="W43" s="12">
        <v>0.5</v>
      </c>
      <c r="X43" s="12"/>
      <c r="Y43" s="12">
        <v>0.5</v>
      </c>
      <c r="AB43">
        <v>2</v>
      </c>
      <c r="AC43" s="12"/>
      <c r="AD43" s="12">
        <v>0.8</v>
      </c>
      <c r="AE43" s="12"/>
      <c r="AF43" s="12">
        <v>0.8</v>
      </c>
      <c r="AI43">
        <v>2</v>
      </c>
      <c r="AJ43" s="12"/>
      <c r="AK43" s="12">
        <v>1</v>
      </c>
      <c r="AL43" s="12"/>
      <c r="AM43" s="12">
        <v>1</v>
      </c>
      <c r="AQ43" s="12"/>
      <c r="AR43" s="12">
        <v>1</v>
      </c>
      <c r="AS43" s="12"/>
      <c r="AT43" s="12">
        <v>1</v>
      </c>
      <c r="AX43" s="12"/>
      <c r="AY43" s="12">
        <v>1</v>
      </c>
      <c r="AZ43" s="12"/>
      <c r="BA43" s="12">
        <v>1</v>
      </c>
      <c r="BE43" s="12"/>
      <c r="BF43" s="12">
        <v>1</v>
      </c>
      <c r="BG43" s="12"/>
      <c r="BH43" s="12">
        <v>1</v>
      </c>
      <c r="BL43" s="12"/>
      <c r="BM43" s="12"/>
      <c r="BN43" s="12"/>
      <c r="BO43" s="12"/>
    </row>
    <row r="44" spans="2:67" outlineLevel="1">
      <c r="B44" t="s">
        <v>29</v>
      </c>
      <c r="C44" t="s">
        <v>69</v>
      </c>
      <c r="E44" s="11"/>
      <c r="F44" t="s">
        <v>94</v>
      </c>
      <c r="G44" s="12">
        <v>6.25E-2</v>
      </c>
      <c r="I44" s="11">
        <f t="shared" si="6"/>
        <v>6</v>
      </c>
      <c r="J44" s="13">
        <f t="shared" si="7"/>
        <v>0</v>
      </c>
      <c r="K44" s="13">
        <f t="shared" si="7"/>
        <v>0</v>
      </c>
      <c r="L44" s="11"/>
      <c r="O44" s="12"/>
      <c r="P44" s="12"/>
      <c r="Q44" s="12"/>
      <c r="R44" s="12"/>
      <c r="U44">
        <v>2</v>
      </c>
      <c r="V44" s="12"/>
      <c r="W44" s="12">
        <v>0.5</v>
      </c>
      <c r="X44" s="12"/>
      <c r="Y44" s="12">
        <v>0.5</v>
      </c>
      <c r="AC44" s="12"/>
      <c r="AD44" s="12">
        <v>0.5</v>
      </c>
      <c r="AE44" s="12"/>
      <c r="AF44" s="12">
        <v>0.5</v>
      </c>
      <c r="AI44">
        <v>2</v>
      </c>
      <c r="AJ44" s="12"/>
      <c r="AK44" s="12">
        <v>0.8</v>
      </c>
      <c r="AL44" s="12"/>
      <c r="AM44" s="12">
        <v>0.8</v>
      </c>
      <c r="AP44">
        <v>2</v>
      </c>
      <c r="AQ44" s="12"/>
      <c r="AR44" s="12">
        <v>1</v>
      </c>
      <c r="AS44" s="12"/>
      <c r="AT44" s="12">
        <v>1</v>
      </c>
      <c r="AX44" s="12"/>
      <c r="AY44" s="12">
        <v>1</v>
      </c>
      <c r="AZ44" s="12"/>
      <c r="BA44" s="12">
        <v>1</v>
      </c>
      <c r="BE44" s="12"/>
      <c r="BF44" s="12">
        <v>1</v>
      </c>
      <c r="BG44" s="12"/>
      <c r="BH44" s="12">
        <v>1</v>
      </c>
      <c r="BL44" s="12"/>
      <c r="BM44" s="12"/>
      <c r="BN44" s="12"/>
      <c r="BO44" s="12"/>
    </row>
    <row r="45" spans="2:67" outlineLevel="1">
      <c r="B45" t="s">
        <v>29</v>
      </c>
      <c r="C45" t="s">
        <v>69</v>
      </c>
      <c r="E45" s="11"/>
      <c r="F45" t="s">
        <v>95</v>
      </c>
      <c r="G45" s="12">
        <v>6.25E-2</v>
      </c>
      <c r="I45" s="11">
        <f t="shared" si="6"/>
        <v>6</v>
      </c>
      <c r="J45" s="13">
        <f t="shared" si="7"/>
        <v>0</v>
      </c>
      <c r="K45" s="13">
        <f t="shared" si="7"/>
        <v>0</v>
      </c>
      <c r="L45" s="11"/>
      <c r="O45" s="12"/>
      <c r="P45" s="12"/>
      <c r="Q45" s="12"/>
      <c r="R45" s="12"/>
      <c r="V45" s="12"/>
      <c r="W45" s="12"/>
      <c r="X45" s="12"/>
      <c r="Y45" s="12"/>
      <c r="AB45">
        <v>2</v>
      </c>
      <c r="AC45" s="12"/>
      <c r="AD45" s="12">
        <v>0.5</v>
      </c>
      <c r="AE45" s="12"/>
      <c r="AF45" s="12">
        <v>0.5</v>
      </c>
      <c r="AJ45" s="12"/>
      <c r="AK45" s="12">
        <v>0.5</v>
      </c>
      <c r="AL45" s="12"/>
      <c r="AM45" s="12">
        <v>0.5</v>
      </c>
      <c r="AP45">
        <v>2</v>
      </c>
      <c r="AQ45" s="12"/>
      <c r="AR45" s="12">
        <v>0.8</v>
      </c>
      <c r="AS45" s="12"/>
      <c r="AT45" s="12">
        <v>0.8</v>
      </c>
      <c r="AW45">
        <v>2</v>
      </c>
      <c r="AX45" s="12"/>
      <c r="AY45" s="12">
        <v>1</v>
      </c>
      <c r="AZ45" s="12"/>
      <c r="BA45" s="12">
        <v>1</v>
      </c>
      <c r="BE45" s="12"/>
      <c r="BF45" s="12">
        <v>1</v>
      </c>
      <c r="BG45" s="12"/>
      <c r="BH45" s="12">
        <v>1</v>
      </c>
      <c r="BL45" s="12"/>
      <c r="BM45" s="12"/>
      <c r="BN45" s="12"/>
      <c r="BO45" s="12"/>
    </row>
    <row r="46" spans="2:67" outlineLevel="1">
      <c r="B46" t="s">
        <v>29</v>
      </c>
      <c r="C46" t="s">
        <v>69</v>
      </c>
      <c r="E46" s="11"/>
      <c r="F46" t="s">
        <v>96</v>
      </c>
      <c r="G46" s="12">
        <v>6.25E-2</v>
      </c>
      <c r="I46" s="11">
        <f t="shared" si="6"/>
        <v>6</v>
      </c>
      <c r="J46" s="13">
        <f t="shared" si="7"/>
        <v>0</v>
      </c>
      <c r="K46" s="13">
        <f t="shared" si="7"/>
        <v>0</v>
      </c>
      <c r="L46" s="11"/>
      <c r="O46" s="12"/>
      <c r="P46" s="12"/>
      <c r="Q46" s="12"/>
      <c r="R46" s="12"/>
      <c r="V46" s="12"/>
      <c r="W46" s="12"/>
      <c r="X46" s="12"/>
      <c r="Y46" s="12"/>
      <c r="AC46" s="12"/>
      <c r="AD46" s="12"/>
      <c r="AE46" s="12"/>
      <c r="AF46" s="12"/>
      <c r="AI46">
        <v>2</v>
      </c>
      <c r="AJ46" s="12"/>
      <c r="AK46" s="12">
        <v>0.5</v>
      </c>
      <c r="AL46" s="12"/>
      <c r="AM46" s="12">
        <v>0.5</v>
      </c>
      <c r="AP46">
        <v>2</v>
      </c>
      <c r="AQ46" s="12"/>
      <c r="AR46" s="12">
        <v>0.8</v>
      </c>
      <c r="AS46" s="12"/>
      <c r="AT46" s="12">
        <v>0.8</v>
      </c>
      <c r="AW46">
        <v>2</v>
      </c>
      <c r="AX46" s="12"/>
      <c r="AY46" s="12">
        <v>1</v>
      </c>
      <c r="AZ46" s="12"/>
      <c r="BA46" s="12">
        <v>1</v>
      </c>
      <c r="BE46" s="12"/>
      <c r="BF46" s="12">
        <v>1</v>
      </c>
      <c r="BG46" s="12"/>
      <c r="BH46" s="12">
        <v>1</v>
      </c>
      <c r="BL46" s="12"/>
      <c r="BM46" s="12"/>
      <c r="BN46" s="12"/>
      <c r="BO46" s="12"/>
    </row>
    <row r="47" spans="2:67" outlineLevel="1">
      <c r="B47" t="s">
        <v>29</v>
      </c>
      <c r="C47" t="s">
        <v>69</v>
      </c>
      <c r="E47" s="11"/>
      <c r="F47" t="s">
        <v>98</v>
      </c>
      <c r="G47" s="12">
        <v>6.25E-2</v>
      </c>
      <c r="I47" s="11">
        <f t="shared" si="6"/>
        <v>6</v>
      </c>
      <c r="J47" s="13">
        <f t="shared" si="7"/>
        <v>0</v>
      </c>
      <c r="K47" s="13">
        <f t="shared" si="7"/>
        <v>0</v>
      </c>
      <c r="L47" s="11"/>
      <c r="O47" s="12"/>
      <c r="P47" s="12"/>
      <c r="Q47" s="12"/>
      <c r="R47" s="12"/>
      <c r="V47" s="12"/>
      <c r="W47" s="12"/>
      <c r="X47" s="12"/>
      <c r="Y47" s="12"/>
      <c r="AB47" s="12"/>
      <c r="AC47" s="12"/>
      <c r="AD47" s="12"/>
      <c r="AE47" s="12"/>
      <c r="AF47" s="12"/>
      <c r="AI47">
        <v>2</v>
      </c>
      <c r="AJ47" s="12"/>
      <c r="AK47" s="12">
        <v>0.5</v>
      </c>
      <c r="AL47" s="12"/>
      <c r="AM47" s="12">
        <v>0.5</v>
      </c>
      <c r="AP47">
        <v>2</v>
      </c>
      <c r="AQ47" s="12"/>
      <c r="AR47" s="12">
        <v>0.8</v>
      </c>
      <c r="AS47" s="12"/>
      <c r="AT47" s="12">
        <v>0.8</v>
      </c>
      <c r="AW47">
        <v>2</v>
      </c>
      <c r="AX47" s="12"/>
      <c r="AY47" s="12">
        <v>1</v>
      </c>
      <c r="AZ47" s="12"/>
      <c r="BA47" s="12">
        <v>1</v>
      </c>
      <c r="BE47" s="12"/>
      <c r="BF47" s="12">
        <v>1</v>
      </c>
      <c r="BG47" s="12"/>
      <c r="BH47" s="12">
        <v>1</v>
      </c>
      <c r="BL47" s="12"/>
      <c r="BM47" s="12"/>
      <c r="BN47" s="12"/>
      <c r="BO47" s="12"/>
    </row>
    <row r="48" spans="2:67" outlineLevel="1">
      <c r="B48" t="s">
        <v>29</v>
      </c>
      <c r="C48" t="s">
        <v>69</v>
      </c>
      <c r="E48" s="11"/>
      <c r="F48" t="s">
        <v>97</v>
      </c>
      <c r="G48" s="12">
        <v>6.25E-2</v>
      </c>
      <c r="I48" s="11">
        <f t="shared" si="6"/>
        <v>6</v>
      </c>
      <c r="J48" s="13">
        <f t="shared" si="7"/>
        <v>0</v>
      </c>
      <c r="K48" s="13">
        <f t="shared" si="7"/>
        <v>0</v>
      </c>
      <c r="L48" s="11"/>
      <c r="O48" s="12"/>
      <c r="P48" s="12"/>
      <c r="Q48" s="12"/>
      <c r="R48" s="12"/>
      <c r="V48" s="12"/>
      <c r="W48" s="12"/>
      <c r="X48" s="12"/>
      <c r="Y48" s="12"/>
      <c r="AC48" s="12"/>
      <c r="AD48" s="12"/>
      <c r="AE48" s="12"/>
      <c r="AF48" s="12"/>
      <c r="AJ48" s="12"/>
      <c r="AK48" s="12"/>
      <c r="AL48" s="12"/>
      <c r="AM48" s="12"/>
      <c r="AP48">
        <v>2</v>
      </c>
      <c r="AQ48" s="12"/>
      <c r="AR48" s="12">
        <v>0.5</v>
      </c>
      <c r="AS48" s="12"/>
      <c r="AT48" s="12">
        <v>0.5</v>
      </c>
      <c r="AW48">
        <v>4</v>
      </c>
      <c r="AX48" s="12"/>
      <c r="AY48" s="12">
        <v>1</v>
      </c>
      <c r="AZ48" s="12"/>
      <c r="BA48" s="12">
        <v>1</v>
      </c>
      <c r="BE48" s="12"/>
      <c r="BF48" s="12">
        <v>1</v>
      </c>
      <c r="BG48" s="12"/>
      <c r="BH48" s="12">
        <v>1</v>
      </c>
      <c r="BL48" s="12"/>
      <c r="BM48" s="12"/>
      <c r="BN48" s="12"/>
      <c r="BO48" s="12"/>
    </row>
    <row r="49" spans="2:67" outlineLevel="1">
      <c r="B49" t="s">
        <v>29</v>
      </c>
      <c r="C49" t="s">
        <v>69</v>
      </c>
      <c r="E49" s="11"/>
      <c r="F49" t="s">
        <v>99</v>
      </c>
      <c r="G49" s="12">
        <v>0.25</v>
      </c>
      <c r="I49" s="11">
        <f t="shared" si="6"/>
        <v>6</v>
      </c>
      <c r="J49" s="13">
        <f t="shared" si="7"/>
        <v>0</v>
      </c>
      <c r="K49" s="13">
        <f t="shared" si="7"/>
        <v>0</v>
      </c>
      <c r="L49" s="11"/>
      <c r="N49">
        <v>2</v>
      </c>
      <c r="O49" s="12"/>
      <c r="P49" s="12">
        <v>0.5</v>
      </c>
      <c r="Q49" s="12"/>
      <c r="R49" s="12">
        <v>0.5</v>
      </c>
      <c r="U49">
        <v>2</v>
      </c>
      <c r="V49" s="12"/>
      <c r="W49" s="12">
        <v>0.8</v>
      </c>
      <c r="X49" s="12"/>
      <c r="Y49" s="12">
        <v>0.8</v>
      </c>
      <c r="AB49">
        <v>2</v>
      </c>
      <c r="AC49" s="12"/>
      <c r="AD49" s="12">
        <v>1</v>
      </c>
      <c r="AE49" s="12"/>
      <c r="AF49" s="12">
        <v>1</v>
      </c>
      <c r="AJ49" s="12"/>
      <c r="AK49" s="12">
        <v>1</v>
      </c>
      <c r="AL49" s="12"/>
      <c r="AM49" s="12">
        <v>1</v>
      </c>
      <c r="AQ49" s="12"/>
      <c r="AR49" s="12">
        <v>1</v>
      </c>
      <c r="AS49" s="12"/>
      <c r="AT49" s="12">
        <v>1</v>
      </c>
      <c r="AX49" s="12"/>
      <c r="AY49" s="12">
        <v>1</v>
      </c>
      <c r="AZ49" s="12"/>
      <c r="BA49" s="12">
        <v>1</v>
      </c>
      <c r="BE49" s="12"/>
      <c r="BF49" s="12">
        <v>1</v>
      </c>
      <c r="BG49" s="12"/>
      <c r="BH49" s="12">
        <v>1</v>
      </c>
      <c r="BL49" s="12"/>
      <c r="BM49" s="12"/>
      <c r="BN49" s="12"/>
      <c r="BO49" s="12"/>
    </row>
    <row r="50" spans="2:67" outlineLevel="1">
      <c r="B50" t="s">
        <v>29</v>
      </c>
      <c r="C50" t="s">
        <v>69</v>
      </c>
      <c r="E50" s="11"/>
      <c r="F50" t="s">
        <v>100</v>
      </c>
      <c r="G50" s="12">
        <v>0.25</v>
      </c>
      <c r="I50" s="11">
        <f t="shared" si="6"/>
        <v>6</v>
      </c>
      <c r="J50" s="13">
        <f t="shared" si="7"/>
        <v>0</v>
      </c>
      <c r="K50" s="13">
        <f t="shared" si="7"/>
        <v>0</v>
      </c>
      <c r="L50" s="11"/>
      <c r="N50">
        <v>2</v>
      </c>
      <c r="O50" s="12"/>
      <c r="P50" s="12">
        <v>0.5</v>
      </c>
      <c r="Q50" s="12"/>
      <c r="R50" s="12">
        <v>0.5</v>
      </c>
      <c r="U50">
        <v>2</v>
      </c>
      <c r="V50" s="12"/>
      <c r="W50" s="12">
        <v>0.8</v>
      </c>
      <c r="X50" s="12"/>
      <c r="Y50" s="12">
        <v>0.8</v>
      </c>
      <c r="AB50">
        <v>2</v>
      </c>
      <c r="AC50" s="12"/>
      <c r="AD50" s="12">
        <v>1</v>
      </c>
      <c r="AE50" s="12"/>
      <c r="AF50" s="12">
        <v>1</v>
      </c>
      <c r="AJ50" s="12"/>
      <c r="AK50" s="12">
        <v>1</v>
      </c>
      <c r="AL50" s="12"/>
      <c r="AM50" s="12">
        <v>1</v>
      </c>
      <c r="AQ50" s="12"/>
      <c r="AR50" s="12">
        <v>1</v>
      </c>
      <c r="AS50" s="12"/>
      <c r="AT50" s="12">
        <v>1</v>
      </c>
      <c r="AX50" s="12"/>
      <c r="AY50" s="12">
        <v>1</v>
      </c>
      <c r="AZ50" s="12"/>
      <c r="BA50" s="12">
        <v>1</v>
      </c>
      <c r="BE50" s="12"/>
      <c r="BF50" s="12">
        <v>1</v>
      </c>
      <c r="BG50" s="12"/>
      <c r="BH50" s="12">
        <v>1</v>
      </c>
      <c r="BL50" s="12"/>
      <c r="BM50" s="12"/>
      <c r="BN50" s="12"/>
      <c r="BO50" s="12"/>
    </row>
    <row r="52" spans="2:67">
      <c r="B52" t="s">
        <v>28</v>
      </c>
      <c r="C52" t="s">
        <v>70</v>
      </c>
      <c r="E52" s="11">
        <v>2</v>
      </c>
      <c r="G52" s="12">
        <f>+SUM(G53:G58)</f>
        <v>0.99600000000000011</v>
      </c>
      <c r="I52" s="14">
        <f>+SUM(I53:I58)</f>
        <v>21</v>
      </c>
      <c r="J52" s="13">
        <f>+SUMPRODUCT(G53:G58,J53:J58)</f>
        <v>0</v>
      </c>
      <c r="K52" s="13">
        <f>+SUMPRODUCT(G53:G58,K53:K58)</f>
        <v>0</v>
      </c>
      <c r="L52" s="11"/>
      <c r="N52" s="14">
        <f>+SUM(N53:N58)</f>
        <v>5</v>
      </c>
      <c r="U52" s="14">
        <f>+SUM(U53:U58)</f>
        <v>5</v>
      </c>
      <c r="AB52" s="14">
        <f>+SUM(AB53:AB58)</f>
        <v>5</v>
      </c>
      <c r="AI52" s="14">
        <f>+SUM(AI53:AI58)</f>
        <v>6</v>
      </c>
      <c r="AP52" s="14">
        <f>+SUM(AP53:AP58)</f>
        <v>0</v>
      </c>
      <c r="AW52" s="14">
        <f>+SUM(AW53:AW58)</f>
        <v>0</v>
      </c>
      <c r="BD52" s="14">
        <f>+SUM(BD53:BD58)</f>
        <v>0</v>
      </c>
      <c r="BK52" s="14">
        <f>+SUM(BK53:BK58)</f>
        <v>0</v>
      </c>
    </row>
    <row r="53" spans="2:67" outlineLevel="1">
      <c r="B53" t="s">
        <v>29</v>
      </c>
      <c r="C53" t="s">
        <v>70</v>
      </c>
      <c r="E53" s="11"/>
      <c r="F53" t="s">
        <v>101</v>
      </c>
      <c r="G53" s="12">
        <v>0.16600000000000001</v>
      </c>
      <c r="I53" s="11">
        <f t="shared" ref="I53:I58" si="8">+SUMIF($N$3:$AAG$3,I$3,$N53:$AAG53)</f>
        <v>4</v>
      </c>
      <c r="J53" s="13">
        <f t="shared" ref="J53:K58" si="9">+_xlfn.MAXIFS($N53:$ZM53,$N$3:$ZM$3,J$3)</f>
        <v>0</v>
      </c>
      <c r="K53" s="13">
        <f t="shared" si="9"/>
        <v>0</v>
      </c>
      <c r="L53" s="11"/>
      <c r="N53">
        <v>2</v>
      </c>
      <c r="O53" s="12"/>
      <c r="P53" s="12">
        <v>0.8</v>
      </c>
      <c r="Q53" s="12"/>
      <c r="R53" s="12"/>
      <c r="U53">
        <v>1</v>
      </c>
      <c r="V53" s="12"/>
      <c r="W53" s="12">
        <v>1</v>
      </c>
      <c r="X53" s="12"/>
      <c r="Y53" s="12"/>
      <c r="AC53" s="12"/>
      <c r="AD53" s="12">
        <v>1</v>
      </c>
      <c r="AE53" s="12"/>
      <c r="AF53" s="12"/>
      <c r="AI53">
        <v>1</v>
      </c>
      <c r="AJ53" s="12"/>
      <c r="AK53" s="12">
        <v>1</v>
      </c>
      <c r="AL53" s="12"/>
      <c r="AM53" s="12"/>
      <c r="AQ53" s="12"/>
      <c r="AR53" s="12"/>
      <c r="AS53" s="12"/>
      <c r="AT53" s="12"/>
      <c r="AX53" s="12"/>
      <c r="AY53" s="12"/>
      <c r="AZ53" s="12"/>
      <c r="BA53" s="12"/>
      <c r="BE53" s="12"/>
      <c r="BF53" s="12"/>
      <c r="BG53" s="12"/>
      <c r="BH53" s="12"/>
      <c r="BL53" s="12"/>
      <c r="BM53" s="12"/>
      <c r="BN53" s="12"/>
      <c r="BO53" s="12"/>
    </row>
    <row r="54" spans="2:67" outlineLevel="1">
      <c r="B54" t="s">
        <v>29</v>
      </c>
      <c r="C54" t="s">
        <v>70</v>
      </c>
      <c r="E54" s="11"/>
      <c r="F54" t="s">
        <v>102</v>
      </c>
      <c r="G54" s="12">
        <v>0.16600000000000001</v>
      </c>
      <c r="I54" s="11">
        <f t="shared" si="8"/>
        <v>4</v>
      </c>
      <c r="J54" s="13">
        <f t="shared" si="9"/>
        <v>0</v>
      </c>
      <c r="K54" s="13">
        <f t="shared" si="9"/>
        <v>0</v>
      </c>
      <c r="L54" s="11"/>
      <c r="N54">
        <v>1</v>
      </c>
      <c r="O54" s="12"/>
      <c r="P54" s="12">
        <v>0.5</v>
      </c>
      <c r="Q54" s="12"/>
      <c r="R54" s="12"/>
      <c r="U54">
        <v>1</v>
      </c>
      <c r="V54" s="12"/>
      <c r="W54" s="12">
        <v>0.8</v>
      </c>
      <c r="X54" s="12"/>
      <c r="Y54" s="12"/>
      <c r="AB54">
        <v>1</v>
      </c>
      <c r="AC54" s="12"/>
      <c r="AD54" s="12">
        <v>1</v>
      </c>
      <c r="AE54" s="12"/>
      <c r="AF54" s="12"/>
      <c r="AI54">
        <v>1</v>
      </c>
      <c r="AJ54" s="12"/>
      <c r="AK54" s="12">
        <v>1</v>
      </c>
      <c r="AL54" s="12"/>
      <c r="AM54" s="12"/>
      <c r="AQ54" s="12"/>
      <c r="AR54" s="12"/>
      <c r="AS54" s="12"/>
      <c r="AT54" s="12"/>
      <c r="AX54" s="12"/>
      <c r="AY54" s="12"/>
      <c r="AZ54" s="12"/>
      <c r="BA54" s="12"/>
      <c r="BE54" s="12"/>
      <c r="BF54" s="12"/>
      <c r="BG54" s="12"/>
      <c r="BH54" s="12"/>
      <c r="BL54" s="12"/>
      <c r="BM54" s="12"/>
      <c r="BN54" s="12"/>
      <c r="BO54" s="12"/>
    </row>
    <row r="55" spans="2:67" outlineLevel="1">
      <c r="B55" t="s">
        <v>29</v>
      </c>
      <c r="C55" t="s">
        <v>70</v>
      </c>
      <c r="E55" s="11"/>
      <c r="F55" t="s">
        <v>103</v>
      </c>
      <c r="G55" s="12">
        <v>0.16600000000000001</v>
      </c>
      <c r="I55" s="11">
        <f t="shared" si="8"/>
        <v>4</v>
      </c>
      <c r="J55" s="13">
        <f t="shared" si="9"/>
        <v>0</v>
      </c>
      <c r="K55" s="13">
        <f t="shared" si="9"/>
        <v>0</v>
      </c>
      <c r="L55" s="11"/>
      <c r="N55">
        <v>1</v>
      </c>
      <c r="O55" s="12"/>
      <c r="P55" s="12">
        <v>0.5</v>
      </c>
      <c r="Q55" s="12"/>
      <c r="R55" s="12"/>
      <c r="U55">
        <v>1</v>
      </c>
      <c r="V55" s="12"/>
      <c r="W55" s="12">
        <v>0.8</v>
      </c>
      <c r="X55" s="12"/>
      <c r="Y55" s="12"/>
      <c r="AB55">
        <v>1</v>
      </c>
      <c r="AC55" s="12"/>
      <c r="AD55" s="12">
        <v>1</v>
      </c>
      <c r="AE55" s="12"/>
      <c r="AF55" s="12"/>
      <c r="AI55">
        <v>1</v>
      </c>
      <c r="AJ55" s="12"/>
      <c r="AK55" s="12">
        <v>1</v>
      </c>
      <c r="AL55" s="12"/>
      <c r="AM55" s="12"/>
      <c r="AQ55" s="12"/>
      <c r="AR55" s="12"/>
      <c r="AS55" s="12"/>
      <c r="AT55" s="12"/>
      <c r="AX55" s="12"/>
      <c r="AY55" s="12"/>
      <c r="AZ55" s="12"/>
      <c r="BA55" s="12"/>
      <c r="BE55" s="12"/>
      <c r="BF55" s="12"/>
      <c r="BG55" s="12"/>
      <c r="BH55" s="12"/>
      <c r="BL55" s="12"/>
      <c r="BM55" s="12"/>
      <c r="BN55" s="12"/>
      <c r="BO55" s="12"/>
    </row>
    <row r="56" spans="2:67" outlineLevel="1">
      <c r="B56" t="s">
        <v>29</v>
      </c>
      <c r="C56" t="s">
        <v>70</v>
      </c>
      <c r="E56" s="11"/>
      <c r="F56" t="s">
        <v>104</v>
      </c>
      <c r="G56" s="12">
        <v>0.16600000000000001</v>
      </c>
      <c r="I56" s="11">
        <f t="shared" si="8"/>
        <v>4</v>
      </c>
      <c r="J56" s="13">
        <f t="shared" si="9"/>
        <v>0</v>
      </c>
      <c r="K56" s="13">
        <f t="shared" si="9"/>
        <v>0</v>
      </c>
      <c r="L56" s="11"/>
      <c r="N56">
        <v>1</v>
      </c>
      <c r="O56" s="12"/>
      <c r="P56" s="12">
        <v>0.5</v>
      </c>
      <c r="Q56" s="12"/>
      <c r="R56" s="12"/>
      <c r="U56">
        <v>1</v>
      </c>
      <c r="V56" s="12"/>
      <c r="W56" s="12">
        <v>0.8</v>
      </c>
      <c r="X56" s="12"/>
      <c r="Y56" s="12"/>
      <c r="AB56">
        <v>1</v>
      </c>
      <c r="AC56" s="12"/>
      <c r="AD56" s="12">
        <v>1</v>
      </c>
      <c r="AE56" s="12"/>
      <c r="AF56" s="12"/>
      <c r="AI56">
        <v>1</v>
      </c>
      <c r="AJ56" s="12"/>
      <c r="AK56" s="12">
        <v>1</v>
      </c>
      <c r="AL56" s="12"/>
      <c r="AM56" s="12"/>
      <c r="AQ56" s="12"/>
      <c r="AR56" s="12"/>
      <c r="AS56" s="12"/>
      <c r="AT56" s="12"/>
      <c r="AX56" s="12"/>
      <c r="AY56" s="12"/>
      <c r="AZ56" s="12"/>
      <c r="BA56" s="12"/>
      <c r="BE56" s="12"/>
      <c r="BF56" s="12"/>
      <c r="BG56" s="12"/>
      <c r="BH56" s="12"/>
      <c r="BL56" s="12"/>
      <c r="BM56" s="12"/>
      <c r="BN56" s="12"/>
      <c r="BO56" s="12"/>
    </row>
    <row r="57" spans="2:67" outlineLevel="1">
      <c r="B57" t="s">
        <v>29</v>
      </c>
      <c r="C57" t="s">
        <v>70</v>
      </c>
      <c r="E57" s="11"/>
      <c r="F57" t="s">
        <v>105</v>
      </c>
      <c r="G57" s="12">
        <v>0.16600000000000001</v>
      </c>
      <c r="I57" s="11">
        <f t="shared" si="8"/>
        <v>3</v>
      </c>
      <c r="J57" s="13">
        <f t="shared" si="9"/>
        <v>0</v>
      </c>
      <c r="K57" s="13">
        <f t="shared" si="9"/>
        <v>0</v>
      </c>
      <c r="L57" s="11"/>
      <c r="O57" s="12"/>
      <c r="P57" s="12"/>
      <c r="Q57" s="12"/>
      <c r="R57" s="12"/>
      <c r="U57">
        <v>1</v>
      </c>
      <c r="V57" s="12"/>
      <c r="W57" s="12">
        <v>0.5</v>
      </c>
      <c r="X57" s="12"/>
      <c r="Y57" s="12"/>
      <c r="AB57">
        <v>1</v>
      </c>
      <c r="AC57" s="12"/>
      <c r="AD57" s="12">
        <v>0.8</v>
      </c>
      <c r="AE57" s="12"/>
      <c r="AF57" s="12"/>
      <c r="AI57">
        <v>1</v>
      </c>
      <c r="AJ57" s="12"/>
      <c r="AK57" s="12">
        <v>1</v>
      </c>
      <c r="AL57" s="12"/>
      <c r="AM57" s="12"/>
      <c r="AQ57" s="12"/>
      <c r="AR57" s="12"/>
      <c r="AS57" s="12"/>
      <c r="AT57" s="12"/>
      <c r="AX57" s="12"/>
      <c r="AY57" s="12"/>
      <c r="AZ57" s="12"/>
      <c r="BA57" s="12"/>
      <c r="BE57" s="12"/>
      <c r="BF57" s="12"/>
      <c r="BG57" s="12"/>
      <c r="BH57" s="12"/>
      <c r="BL57" s="12"/>
      <c r="BM57" s="12"/>
      <c r="BN57" s="12"/>
      <c r="BO57" s="12"/>
    </row>
    <row r="58" spans="2:67" outlineLevel="1">
      <c r="B58" t="s">
        <v>29</v>
      </c>
      <c r="C58" t="s">
        <v>70</v>
      </c>
      <c r="E58" s="11"/>
      <c r="F58" t="s">
        <v>106</v>
      </c>
      <c r="G58" s="12">
        <v>0.16600000000000001</v>
      </c>
      <c r="I58" s="11">
        <f t="shared" si="8"/>
        <v>2</v>
      </c>
      <c r="J58" s="13">
        <f t="shared" si="9"/>
        <v>0</v>
      </c>
      <c r="K58" s="13">
        <f t="shared" si="9"/>
        <v>0</v>
      </c>
      <c r="L58" s="11"/>
      <c r="O58" s="12"/>
      <c r="P58" s="12"/>
      <c r="Q58" s="12"/>
      <c r="R58" s="12"/>
      <c r="V58" s="12"/>
      <c r="W58" s="12"/>
      <c r="X58" s="12"/>
      <c r="Y58" s="12"/>
      <c r="AB58">
        <v>1</v>
      </c>
      <c r="AC58" s="12"/>
      <c r="AD58" s="12">
        <v>0.5</v>
      </c>
      <c r="AE58" s="12"/>
      <c r="AF58" s="12"/>
      <c r="AI58">
        <v>1</v>
      </c>
      <c r="AJ58" s="12"/>
      <c r="AK58" s="12">
        <v>1</v>
      </c>
      <c r="AL58" s="12"/>
      <c r="AM58" s="12"/>
      <c r="AQ58" s="12"/>
      <c r="AR58" s="12"/>
      <c r="AS58" s="12"/>
      <c r="AT58" s="12"/>
      <c r="AX58" s="12"/>
      <c r="AY58" s="12"/>
      <c r="AZ58" s="12"/>
      <c r="BA58" s="12"/>
      <c r="BE58" s="12"/>
      <c r="BF58" s="12"/>
      <c r="BG58" s="12"/>
      <c r="BH58" s="12"/>
      <c r="BL58" s="12"/>
      <c r="BM58" s="12"/>
      <c r="BN58" s="12"/>
      <c r="BO58" s="12"/>
    </row>
  </sheetData>
  <mergeCells count="9">
    <mergeCell ref="BD2:BI2"/>
    <mergeCell ref="BK2:BP2"/>
    <mergeCell ref="I2:L2"/>
    <mergeCell ref="N2:S2"/>
    <mergeCell ref="U2:Z2"/>
    <mergeCell ref="AB2:AG2"/>
    <mergeCell ref="AI2:AN2"/>
    <mergeCell ref="AP2:AU2"/>
    <mergeCell ref="AW2:BB2"/>
  </mergeCells>
  <phoneticPr fontId="5" type="noConversion"/>
  <conditionalFormatting sqref="O17:O21 Q17:Q21 O5:O14 Q5:Q14 AQ5:AQ14 AS5:AS14 BE5:BE14 BG5:BG14 V5:V14 AC5:AC14 AE5:AE14 AL5:AL14 AX5:AX14 AZ5:AZ14 BL5:BL14 BN5:BN14 X5:X14 O26:O28 Q26:Q28 AQ26:AQ28 AS26:AS28 BE26:BE28 BG26:BG28 V26:V28 X26:X28 AC26:AC28 AE26:AE28 AJ26:AJ28 AL26:AL28 AX26:AX28 AZ26:AZ28 BL26:BL28 BN26:BN28 AJ33:AJ38 AL33:AL38 AX33:AX38 AZ33:AZ38 Q33:Q38 O33:O38 BG33:BG38 X33:X38 V33:V38 AE33:AE38 AC33:AC38 AS33:AS38 AQ33:AQ38 BE33:BE38 BN33:BN38 BL33:BL38 O41:O50 Q41:Q50 AQ41:AQ50 AS41:AS50 BE41:BE50 BG41:BG50 V41:V50 X41:X50 AC41:AC50 AE41:AE50 AJ41:AJ50 AL41:AL50 AX41:AX50 AZ41:AZ50 BL41:BL50 BN41:BN50 AJ5:AJ14">
    <cfRule type="expression" dxfId="160" priority="367">
      <formula>OR(IF(O5&lt;P5,TRUE),IF(AND(P5="",O5&lt;&gt;""),TRUE))</formula>
    </cfRule>
    <cfRule type="expression" dxfId="159" priority="368">
      <formula>IF(O5&gt;=P5,IF(O5="",FALSE,TRUE))</formula>
    </cfRule>
  </conditionalFormatting>
  <conditionalFormatting sqref="AQ17:AQ21 AS17:AS21">
    <cfRule type="expression" dxfId="158" priority="234">
      <formula>OR(IF(AQ17&lt;AR17,TRUE),IF(AND(AR17="",AQ17&lt;&gt;""),TRUE))</formula>
    </cfRule>
    <cfRule type="expression" dxfId="157" priority="235">
      <formula>IF(AQ17&gt;=AR17,IF(AQ17="",FALSE,TRUE))</formula>
    </cfRule>
  </conditionalFormatting>
  <conditionalFormatting sqref="J17:K22">
    <cfRule type="colorScale" priority="370">
      <colorScale>
        <cfvo type="percent" val="0"/>
        <cfvo type="percent" val="100"/>
        <color rgb="FFFF231B"/>
        <color rgb="FF10FF07"/>
      </colorScale>
    </cfRule>
  </conditionalFormatting>
  <conditionalFormatting sqref="O31:O32">
    <cfRule type="expression" dxfId="156" priority="308">
      <formula>OR(IF(O31&lt;P31,TRUE),IF(AND(P31="",O31&lt;&gt;""),TRUE))</formula>
    </cfRule>
    <cfRule type="expression" dxfId="155" priority="309">
      <formula>IF(O31&gt;=P31,IF(O31="",FALSE,TRUE))</formula>
    </cfRule>
  </conditionalFormatting>
  <conditionalFormatting sqref="Q31:Q32">
    <cfRule type="expression" dxfId="154" priority="306">
      <formula>OR(IF(Q31&lt;R31,TRUE),IF(AND(R31="",Q31&lt;&gt;""),TRUE))</formula>
    </cfRule>
    <cfRule type="expression" dxfId="153" priority="307">
      <formula>IF(Q31&gt;=R31,IF(Q31="",FALSE,TRUE))</formula>
    </cfRule>
  </conditionalFormatting>
  <conditionalFormatting sqref="AZ22">
    <cfRule type="expression" dxfId="152" priority="208">
      <formula>OR(IF(AZ22&lt;BA22,TRUE),IF(AND(BA22="",AZ22&lt;&gt;""),TRUE))</formula>
    </cfRule>
    <cfRule type="expression" dxfId="151" priority="209">
      <formula>IF(AZ22&gt;=BA22,IF(AZ22="",FALSE,TRUE))</formula>
    </cfRule>
  </conditionalFormatting>
  <conditionalFormatting sqref="BE17:BE21 BG17:BG21">
    <cfRule type="expression" dxfId="150" priority="202">
      <formula>OR(IF(BE17&lt;BF17,TRUE),IF(AND(BF17="",BE17&lt;&gt;""),TRUE))</formula>
    </cfRule>
    <cfRule type="expression" dxfId="149" priority="203">
      <formula>IF(BE17&gt;=BF17,IF(BE17="",FALSE,TRUE))</formula>
    </cfRule>
  </conditionalFormatting>
  <conditionalFormatting sqref="BE31:BE32">
    <cfRule type="expression" dxfId="148" priority="198">
      <formula>OR(IF(BE31&lt;BF31,TRUE),IF(AND(BF31="",BE31&lt;&gt;""),TRUE))</formula>
    </cfRule>
    <cfRule type="expression" dxfId="147" priority="199">
      <formula>IF(BE31&gt;=BF31,IF(BE31="",FALSE,TRUE))</formula>
    </cfRule>
  </conditionalFormatting>
  <conditionalFormatting sqref="O22">
    <cfRule type="expression" dxfId="146" priority="290">
      <formula>OR(IF(O22&lt;P22,TRUE),IF(AND(P22="",O22&lt;&gt;""),TRUE))</formula>
    </cfRule>
    <cfRule type="expression" dxfId="145" priority="291">
      <formula>IF(O22&gt;=P22,IF(O22="",FALSE,TRUE))</formula>
    </cfRule>
  </conditionalFormatting>
  <conditionalFormatting sqref="Q22">
    <cfRule type="expression" dxfId="144" priority="288">
      <formula>OR(IF(Q22&lt;R22,TRUE),IF(AND(R22="",Q22&lt;&gt;""),TRUE))</formula>
    </cfRule>
    <cfRule type="expression" dxfId="143" priority="289">
      <formula>IF(Q22&gt;=R22,IF(Q22="",FALSE,TRUE))</formula>
    </cfRule>
  </conditionalFormatting>
  <conditionalFormatting sqref="V17:V21 X17:X21">
    <cfRule type="expression" dxfId="142" priority="282">
      <formula>OR(IF(V17&lt;W17,TRUE),IF(AND(W17="",V17&lt;&gt;""),TRUE))</formula>
    </cfRule>
    <cfRule type="expression" dxfId="141" priority="283">
      <formula>IF(V17&gt;=W17,IF(V17="",FALSE,TRUE))</formula>
    </cfRule>
  </conditionalFormatting>
  <conditionalFormatting sqref="V31:V32">
    <cfRule type="expression" dxfId="140" priority="278">
      <formula>OR(IF(V31&lt;W31,TRUE),IF(AND(W31="",V31&lt;&gt;""),TRUE))</formula>
    </cfRule>
    <cfRule type="expression" dxfId="139" priority="279">
      <formula>IF(V31&gt;=W31,IF(V31="",FALSE,TRUE))</formula>
    </cfRule>
  </conditionalFormatting>
  <conditionalFormatting sqref="X31:X32">
    <cfRule type="expression" dxfId="138" priority="276">
      <formula>OR(IF(X31&lt;Y31,TRUE),IF(AND(Y31="",X31&lt;&gt;""),TRUE))</formula>
    </cfRule>
    <cfRule type="expression" dxfId="137" priority="277">
      <formula>IF(X31&gt;=Y31,IF(X31="",FALSE,TRUE))</formula>
    </cfRule>
  </conditionalFormatting>
  <conditionalFormatting sqref="V22">
    <cfRule type="expression" dxfId="136" priority="274">
      <formula>OR(IF(V22&lt;W22,TRUE),IF(AND(W22="",V22&lt;&gt;""),TRUE))</formula>
    </cfRule>
    <cfRule type="expression" dxfId="135" priority="275">
      <formula>IF(V22&gt;=W22,IF(V22="",FALSE,TRUE))</formula>
    </cfRule>
  </conditionalFormatting>
  <conditionalFormatting sqref="X22">
    <cfRule type="expression" dxfId="134" priority="272">
      <formula>OR(IF(X22&lt;Y22,TRUE),IF(AND(Y22="",X22&lt;&gt;""),TRUE))</formula>
    </cfRule>
    <cfRule type="expression" dxfId="133" priority="273">
      <formula>IF(X22&gt;=Y22,IF(X22="",FALSE,TRUE))</formula>
    </cfRule>
  </conditionalFormatting>
  <conditionalFormatting sqref="AC17:AC21 AE17:AE21">
    <cfRule type="expression" dxfId="132" priority="266">
      <formula>OR(IF(AC17&lt;AD17,TRUE),IF(AND(AD17="",AC17&lt;&gt;""),TRUE))</formula>
    </cfRule>
    <cfRule type="expression" dxfId="131" priority="267">
      <formula>IF(AC17&gt;=AD17,IF(AC17="",FALSE,TRUE))</formula>
    </cfRule>
  </conditionalFormatting>
  <conditionalFormatting sqref="AC31:AC32">
    <cfRule type="expression" dxfId="130" priority="262">
      <formula>OR(IF(AC31&lt;AD31,TRUE),IF(AND(AD31="",AC31&lt;&gt;""),TRUE))</formula>
    </cfRule>
    <cfRule type="expression" dxfId="129" priority="263">
      <formula>IF(AC31&gt;=AD31,IF(AC31="",FALSE,TRUE))</formula>
    </cfRule>
  </conditionalFormatting>
  <conditionalFormatting sqref="AE31:AE32">
    <cfRule type="expression" dxfId="128" priority="260">
      <formula>OR(IF(AE31&lt;AF31,TRUE),IF(AND(AF31="",AE31&lt;&gt;""),TRUE))</formula>
    </cfRule>
    <cfRule type="expression" dxfId="127" priority="261">
      <formula>IF(AE31&gt;=AF31,IF(AE31="",FALSE,TRUE))</formula>
    </cfRule>
  </conditionalFormatting>
  <conditionalFormatting sqref="AC22">
    <cfRule type="expression" dxfId="126" priority="258">
      <formula>OR(IF(AC22&lt;AD22,TRUE),IF(AND(AD22="",AC22&lt;&gt;""),TRUE))</formula>
    </cfRule>
    <cfRule type="expression" dxfId="125" priority="259">
      <formula>IF(AC22&gt;=AD22,IF(AC22="",FALSE,TRUE))</formula>
    </cfRule>
  </conditionalFormatting>
  <conditionalFormatting sqref="AE22">
    <cfRule type="expression" dxfId="124" priority="256">
      <formula>OR(IF(AE22&lt;AF22,TRUE),IF(AND(AF22="",AE22&lt;&gt;""),TRUE))</formula>
    </cfRule>
    <cfRule type="expression" dxfId="123" priority="257">
      <formula>IF(AE22&gt;=AF22,IF(AE22="",FALSE,TRUE))</formula>
    </cfRule>
  </conditionalFormatting>
  <conditionalFormatting sqref="AJ17:AJ21 AL17:AL21">
    <cfRule type="expression" dxfId="122" priority="250">
      <formula>OR(IF(AJ17&lt;AK17,TRUE),IF(AND(AK17="",AJ17&lt;&gt;""),TRUE))</formula>
    </cfRule>
    <cfRule type="expression" dxfId="121" priority="251">
      <formula>IF(AJ17&gt;=AK17,IF(AJ17="",FALSE,TRUE))</formula>
    </cfRule>
  </conditionalFormatting>
  <conditionalFormatting sqref="AJ31:AJ32">
    <cfRule type="expression" dxfId="120" priority="246">
      <formula>OR(IF(AJ31&lt;AK31,TRUE),IF(AND(AK31="",AJ31&lt;&gt;""),TRUE))</formula>
    </cfRule>
    <cfRule type="expression" dxfId="119" priority="247">
      <formula>IF(AJ31&gt;=AK31,IF(AJ31="",FALSE,TRUE))</formula>
    </cfRule>
  </conditionalFormatting>
  <conditionalFormatting sqref="AL31:AL32">
    <cfRule type="expression" dxfId="118" priority="244">
      <formula>OR(IF(AL31&lt;AM31,TRUE),IF(AND(AM31="",AL31&lt;&gt;""),TRUE))</formula>
    </cfRule>
    <cfRule type="expression" dxfId="117" priority="245">
      <formula>IF(AL31&gt;=AM31,IF(AL31="",FALSE,TRUE))</formula>
    </cfRule>
  </conditionalFormatting>
  <conditionalFormatting sqref="AJ22">
    <cfRule type="expression" dxfId="116" priority="242">
      <formula>OR(IF(AJ22&lt;AK22,TRUE),IF(AND(AK22="",AJ22&lt;&gt;""),TRUE))</formula>
    </cfRule>
    <cfRule type="expression" dxfId="115" priority="243">
      <formula>IF(AJ22&gt;=AK22,IF(AJ22="",FALSE,TRUE))</formula>
    </cfRule>
  </conditionalFormatting>
  <conditionalFormatting sqref="AL22">
    <cfRule type="expression" dxfId="114" priority="240">
      <formula>OR(IF(AL22&lt;AM22,TRUE),IF(AND(AM22="",AL22&lt;&gt;""),TRUE))</formula>
    </cfRule>
    <cfRule type="expression" dxfId="113" priority="241">
      <formula>IF(AL22&gt;=AM22,IF(AL22="",FALSE,TRUE))</formula>
    </cfRule>
  </conditionalFormatting>
  <conditionalFormatting sqref="AQ31:AQ32">
    <cfRule type="expression" dxfId="112" priority="230">
      <formula>OR(IF(AQ31&lt;AR31,TRUE),IF(AND(AR31="",AQ31&lt;&gt;""),TRUE))</formula>
    </cfRule>
    <cfRule type="expression" dxfId="111" priority="231">
      <formula>IF(AQ31&gt;=AR31,IF(AQ31="",FALSE,TRUE))</formula>
    </cfRule>
  </conditionalFormatting>
  <conditionalFormatting sqref="AS31:AS32">
    <cfRule type="expression" dxfId="110" priority="228">
      <formula>OR(IF(AS31&lt;AT31,TRUE),IF(AND(AT31="",AS31&lt;&gt;""),TRUE))</formula>
    </cfRule>
    <cfRule type="expression" dxfId="109" priority="229">
      <formula>IF(AS31&gt;=AT31,IF(AS31="",FALSE,TRUE))</formula>
    </cfRule>
  </conditionalFormatting>
  <conditionalFormatting sqref="AQ22">
    <cfRule type="expression" dxfId="108" priority="226">
      <formula>OR(IF(AQ22&lt;AR22,TRUE),IF(AND(AR22="",AQ22&lt;&gt;""),TRUE))</formula>
    </cfRule>
    <cfRule type="expression" dxfId="107" priority="227">
      <formula>IF(AQ22&gt;=AR22,IF(AQ22="",FALSE,TRUE))</formula>
    </cfRule>
  </conditionalFormatting>
  <conditionalFormatting sqref="AS22">
    <cfRule type="expression" dxfId="106" priority="224">
      <formula>OR(IF(AS22&lt;AT22,TRUE),IF(AND(AT22="",AS22&lt;&gt;""),TRUE))</formula>
    </cfRule>
    <cfRule type="expression" dxfId="105" priority="225">
      <formula>IF(AS22&gt;=AT22,IF(AS22="",FALSE,TRUE))</formula>
    </cfRule>
  </conditionalFormatting>
  <conditionalFormatting sqref="AX17:AX21 AZ17:AZ21">
    <cfRule type="expression" dxfId="104" priority="218">
      <formula>OR(IF(AX17&lt;AY17,TRUE),IF(AND(AY17="",AX17&lt;&gt;""),TRUE))</formula>
    </cfRule>
    <cfRule type="expression" dxfId="103" priority="219">
      <formula>IF(AX17&gt;=AY17,IF(AX17="",FALSE,TRUE))</formula>
    </cfRule>
  </conditionalFormatting>
  <conditionalFormatting sqref="AX31:AX32">
    <cfRule type="expression" dxfId="102" priority="214">
      <formula>OR(IF(AX31&lt;AY31,TRUE),IF(AND(AY31="",AX31&lt;&gt;""),TRUE))</formula>
    </cfRule>
    <cfRule type="expression" dxfId="101" priority="215">
      <formula>IF(AX31&gt;=AY31,IF(AX31="",FALSE,TRUE))</formula>
    </cfRule>
  </conditionalFormatting>
  <conditionalFormatting sqref="AZ31:AZ32">
    <cfRule type="expression" dxfId="100" priority="212">
      <formula>OR(IF(AZ31&lt;BA31,TRUE),IF(AND(BA31="",AZ31&lt;&gt;""),TRUE))</formula>
    </cfRule>
    <cfRule type="expression" dxfId="99" priority="213">
      <formula>IF(AZ31&gt;=BA31,IF(AZ31="",FALSE,TRUE))</formula>
    </cfRule>
  </conditionalFormatting>
  <conditionalFormatting sqref="AX22">
    <cfRule type="expression" dxfId="98" priority="210">
      <formula>OR(IF(AX22&lt;AY22,TRUE),IF(AND(AY22="",AX22&lt;&gt;""),TRUE))</formula>
    </cfRule>
    <cfRule type="expression" dxfId="97" priority="211">
      <formula>IF(AX22&gt;=AY22,IF(AX22="",FALSE,TRUE))</formula>
    </cfRule>
  </conditionalFormatting>
  <conditionalFormatting sqref="BG31:BG32">
    <cfRule type="expression" dxfId="96" priority="196">
      <formula>OR(IF(BG31&lt;BH31,TRUE),IF(AND(BH31="",BG31&lt;&gt;""),TRUE))</formula>
    </cfRule>
    <cfRule type="expression" dxfId="95" priority="197">
      <formula>IF(BG31&gt;=BH31,IF(BG31="",FALSE,TRUE))</formula>
    </cfRule>
  </conditionalFormatting>
  <conditionalFormatting sqref="BE22">
    <cfRule type="expression" dxfId="94" priority="194">
      <formula>OR(IF(BE22&lt;BF22,TRUE),IF(AND(BF22="",BE22&lt;&gt;""),TRUE))</formula>
    </cfRule>
    <cfRule type="expression" dxfId="93" priority="195">
      <formula>IF(BE22&gt;=BF22,IF(BE22="",FALSE,TRUE))</formula>
    </cfRule>
  </conditionalFormatting>
  <conditionalFormatting sqref="BG22">
    <cfRule type="expression" dxfId="92" priority="192">
      <formula>OR(IF(BG22&lt;BH22,TRUE),IF(AND(BH22="",BG22&lt;&gt;""),TRUE))</formula>
    </cfRule>
    <cfRule type="expression" dxfId="91" priority="193">
      <formula>IF(BG22&gt;=BH22,IF(BG22="",FALSE,TRUE))</formula>
    </cfRule>
  </conditionalFormatting>
  <conditionalFormatting sqref="O53:O57 Q53:Q57">
    <cfRule type="expression" dxfId="90" priority="127">
      <formula>OR(IF(O53&lt;P53,TRUE),IF(AND(P53="",O53&lt;&gt;""),TRUE))</formula>
    </cfRule>
    <cfRule type="expression" dxfId="89" priority="128">
      <formula>IF(O53&gt;=P53,IF(O53="",FALSE,TRUE))</formula>
    </cfRule>
  </conditionalFormatting>
  <conditionalFormatting sqref="AQ53:AQ57 AS53:AS57">
    <cfRule type="expression" dxfId="88" priority="103">
      <formula>OR(IF(AQ53&lt;AR53,TRUE),IF(AND(AR53="",AQ53&lt;&gt;""),TRUE))</formula>
    </cfRule>
    <cfRule type="expression" dxfId="87" priority="104">
      <formula>IF(AQ53&gt;=AR53,IF(AQ53="",FALSE,TRUE))</formula>
    </cfRule>
  </conditionalFormatting>
  <conditionalFormatting sqref="J53:K58">
    <cfRule type="colorScale" priority="129">
      <colorScale>
        <cfvo type="percent" val="0"/>
        <cfvo type="percent" val="100"/>
        <color rgb="FFFF231B"/>
        <color rgb="FF10FF07"/>
      </colorScale>
    </cfRule>
  </conditionalFormatting>
  <conditionalFormatting sqref="AZ58">
    <cfRule type="expression" dxfId="86" priority="93">
      <formula>OR(IF(AZ58&lt;BA58,TRUE),IF(AND(BA58="",AZ58&lt;&gt;""),TRUE))</formula>
    </cfRule>
    <cfRule type="expression" dxfId="85" priority="94">
      <formula>IF(AZ58&gt;=BA58,IF(AZ58="",FALSE,TRUE))</formula>
    </cfRule>
  </conditionalFormatting>
  <conditionalFormatting sqref="BE53:BE57 BG53:BG57">
    <cfRule type="expression" dxfId="84" priority="91">
      <formula>OR(IF(BE53&lt;BF53,TRUE),IF(AND(BF53="",BE53&lt;&gt;""),TRUE))</formula>
    </cfRule>
    <cfRule type="expression" dxfId="83" priority="92">
      <formula>IF(BE53&gt;=BF53,IF(BE53="",FALSE,TRUE))</formula>
    </cfRule>
  </conditionalFormatting>
  <conditionalFormatting sqref="O58">
    <cfRule type="expression" dxfId="82" priority="125">
      <formula>OR(IF(O58&lt;P58,TRUE),IF(AND(P58="",O58&lt;&gt;""),TRUE))</formula>
    </cfRule>
    <cfRule type="expression" dxfId="81" priority="126">
      <formula>IF(O58&gt;=P58,IF(O58="",FALSE,TRUE))</formula>
    </cfRule>
  </conditionalFormatting>
  <conditionalFormatting sqref="Q58">
    <cfRule type="expression" dxfId="80" priority="123">
      <formula>OR(IF(Q58&lt;R58,TRUE),IF(AND(R58="",Q58&lt;&gt;""),TRUE))</formula>
    </cfRule>
    <cfRule type="expression" dxfId="79" priority="124">
      <formula>IF(Q58&gt;=R58,IF(Q58="",FALSE,TRUE))</formula>
    </cfRule>
  </conditionalFormatting>
  <conditionalFormatting sqref="V53:V57 X53:X57">
    <cfRule type="expression" dxfId="78" priority="121">
      <formula>OR(IF(V53&lt;W53,TRUE),IF(AND(W53="",V53&lt;&gt;""),TRUE))</formula>
    </cfRule>
    <cfRule type="expression" dxfId="77" priority="122">
      <formula>IF(V53&gt;=W53,IF(V53="",FALSE,TRUE))</formula>
    </cfRule>
  </conditionalFormatting>
  <conditionalFormatting sqref="V58">
    <cfRule type="expression" dxfId="76" priority="119">
      <formula>OR(IF(V58&lt;W58,TRUE),IF(AND(W58="",V58&lt;&gt;""),TRUE))</formula>
    </cfRule>
    <cfRule type="expression" dxfId="75" priority="120">
      <formula>IF(V58&gt;=W58,IF(V58="",FALSE,TRUE))</formula>
    </cfRule>
  </conditionalFormatting>
  <conditionalFormatting sqref="X58">
    <cfRule type="expression" dxfId="74" priority="117">
      <formula>OR(IF(X58&lt;Y58,TRUE),IF(AND(Y58="",X58&lt;&gt;""),TRUE))</formula>
    </cfRule>
    <cfRule type="expression" dxfId="73" priority="118">
      <formula>IF(X58&gt;=Y58,IF(X58="",FALSE,TRUE))</formula>
    </cfRule>
  </conditionalFormatting>
  <conditionalFormatting sqref="AC53:AC57 AE53:AE57">
    <cfRule type="expression" dxfId="72" priority="115">
      <formula>OR(IF(AC53&lt;AD53,TRUE),IF(AND(AD53="",AC53&lt;&gt;""),TRUE))</formula>
    </cfRule>
    <cfRule type="expression" dxfId="71" priority="116">
      <formula>IF(AC53&gt;=AD53,IF(AC53="",FALSE,TRUE))</formula>
    </cfRule>
  </conditionalFormatting>
  <conditionalFormatting sqref="AC58">
    <cfRule type="expression" dxfId="70" priority="113">
      <formula>OR(IF(AC58&lt;AD58,TRUE),IF(AND(AD58="",AC58&lt;&gt;""),TRUE))</formula>
    </cfRule>
    <cfRule type="expression" dxfId="69" priority="114">
      <formula>IF(AC58&gt;=AD58,IF(AC58="",FALSE,TRUE))</formula>
    </cfRule>
  </conditionalFormatting>
  <conditionalFormatting sqref="AE58">
    <cfRule type="expression" dxfId="68" priority="111">
      <formula>OR(IF(AE58&lt;AF58,TRUE),IF(AND(AF58="",AE58&lt;&gt;""),TRUE))</formula>
    </cfRule>
    <cfRule type="expression" dxfId="67" priority="112">
      <formula>IF(AE58&gt;=AF58,IF(AE58="",FALSE,TRUE))</formula>
    </cfRule>
  </conditionalFormatting>
  <conditionalFormatting sqref="AJ53:AJ57 AL53:AL57">
    <cfRule type="expression" dxfId="66" priority="109">
      <formula>OR(IF(AJ53&lt;AK53,TRUE),IF(AND(AK53="",AJ53&lt;&gt;""),TRUE))</formula>
    </cfRule>
    <cfRule type="expression" dxfId="65" priority="110">
      <formula>IF(AJ53&gt;=AK53,IF(AJ53="",FALSE,TRUE))</formula>
    </cfRule>
  </conditionalFormatting>
  <conditionalFormatting sqref="AJ58">
    <cfRule type="expression" dxfId="64" priority="107">
      <formula>OR(IF(AJ58&lt;AK58,TRUE),IF(AND(AK58="",AJ58&lt;&gt;""),TRUE))</formula>
    </cfRule>
    <cfRule type="expression" dxfId="63" priority="108">
      <formula>IF(AJ58&gt;=AK58,IF(AJ58="",FALSE,TRUE))</formula>
    </cfRule>
  </conditionalFormatting>
  <conditionalFormatting sqref="AL58">
    <cfRule type="expression" dxfId="62" priority="105">
      <formula>OR(IF(AL58&lt;AM58,TRUE),IF(AND(AM58="",AL58&lt;&gt;""),TRUE))</formula>
    </cfRule>
    <cfRule type="expression" dxfId="61" priority="106">
      <formula>IF(AL58&gt;=AM58,IF(AL58="",FALSE,TRUE))</formula>
    </cfRule>
  </conditionalFormatting>
  <conditionalFormatting sqref="AQ58">
    <cfRule type="expression" dxfId="60" priority="101">
      <formula>OR(IF(AQ58&lt;AR58,TRUE),IF(AND(AR58="",AQ58&lt;&gt;""),TRUE))</formula>
    </cfRule>
    <cfRule type="expression" dxfId="59" priority="102">
      <formula>IF(AQ58&gt;=AR58,IF(AQ58="",FALSE,TRUE))</formula>
    </cfRule>
  </conditionalFormatting>
  <conditionalFormatting sqref="AS58">
    <cfRule type="expression" dxfId="58" priority="99">
      <formula>OR(IF(AS58&lt;AT58,TRUE),IF(AND(AT58="",AS58&lt;&gt;""),TRUE))</formula>
    </cfRule>
    <cfRule type="expression" dxfId="57" priority="100">
      <formula>IF(AS58&gt;=AT58,IF(AS58="",FALSE,TRUE))</formula>
    </cfRule>
  </conditionalFormatting>
  <conditionalFormatting sqref="AX53:AX57 AZ53:AZ57">
    <cfRule type="expression" dxfId="56" priority="97">
      <formula>OR(IF(AX53&lt;AY53,TRUE),IF(AND(AY53="",AX53&lt;&gt;""),TRUE))</formula>
    </cfRule>
    <cfRule type="expression" dxfId="55" priority="98">
      <formula>IF(AX53&gt;=AY53,IF(AX53="",FALSE,TRUE))</formula>
    </cfRule>
  </conditionalFormatting>
  <conditionalFormatting sqref="AX58">
    <cfRule type="expression" dxfId="54" priority="95">
      <formula>OR(IF(AX58&lt;AY58,TRUE),IF(AND(AY58="",AX58&lt;&gt;""),TRUE))</formula>
    </cfRule>
    <cfRule type="expression" dxfId="53" priority="96">
      <formula>IF(AX58&gt;=AY58,IF(AX58="",FALSE,TRUE))</formula>
    </cfRule>
  </conditionalFormatting>
  <conditionalFormatting sqref="BE58">
    <cfRule type="expression" dxfId="52" priority="89">
      <formula>OR(IF(BE58&lt;BF58,TRUE),IF(AND(BF58="",BE58&lt;&gt;""),TRUE))</formula>
    </cfRule>
    <cfRule type="expression" dxfId="51" priority="90">
      <formula>IF(BE58&gt;=BF58,IF(BE58="",FALSE,TRUE))</formula>
    </cfRule>
  </conditionalFormatting>
  <conditionalFormatting sqref="BG58">
    <cfRule type="expression" dxfId="50" priority="87">
      <formula>OR(IF(BG58&lt;BH58,TRUE),IF(AND(BH58="",BG58&lt;&gt;""),TRUE))</formula>
    </cfRule>
    <cfRule type="expression" dxfId="49" priority="88">
      <formula>IF(BG58&gt;=BH58,IF(BG58="",FALSE,TRUE))</formula>
    </cfRule>
  </conditionalFormatting>
  <conditionalFormatting sqref="BL17:BL21 BN17:BN21">
    <cfRule type="expression" dxfId="48" priority="59">
      <formula>OR(IF(BL17&lt;BM17,TRUE),IF(AND(BM17="",BL17&lt;&gt;""),TRUE))</formula>
    </cfRule>
    <cfRule type="expression" dxfId="47" priority="60">
      <formula>IF(BL17&gt;=BM17,IF(BL17="",FALSE,TRUE))</formula>
    </cfRule>
  </conditionalFormatting>
  <conditionalFormatting sqref="BL31:BL32">
    <cfRule type="expression" dxfId="46" priority="55">
      <formula>OR(IF(BL31&lt;BM31,TRUE),IF(AND(BM31="",BL31&lt;&gt;""),TRUE))</formula>
    </cfRule>
    <cfRule type="expression" dxfId="45" priority="56">
      <formula>IF(BL31&gt;=BM31,IF(BL31="",FALSE,TRUE))</formula>
    </cfRule>
  </conditionalFormatting>
  <conditionalFormatting sqref="BN31:BN32">
    <cfRule type="expression" dxfId="44" priority="53">
      <formula>OR(IF(BN31&lt;BO31,TRUE),IF(AND(BO31="",BN31&lt;&gt;""),TRUE))</formula>
    </cfRule>
    <cfRule type="expression" dxfId="43" priority="54">
      <formula>IF(BN31&gt;=BO31,IF(BN31="",FALSE,TRUE))</formula>
    </cfRule>
  </conditionalFormatting>
  <conditionalFormatting sqref="BL22">
    <cfRule type="expression" dxfId="42" priority="51">
      <formula>OR(IF(BL22&lt;BM22,TRUE),IF(AND(BM22="",BL22&lt;&gt;""),TRUE))</formula>
    </cfRule>
    <cfRule type="expression" dxfId="41" priority="52">
      <formula>IF(BL22&gt;=BM22,IF(BL22="",FALSE,TRUE))</formula>
    </cfRule>
  </conditionalFormatting>
  <conditionalFormatting sqref="BN22">
    <cfRule type="expression" dxfId="40" priority="49">
      <formula>OR(IF(BN22&lt;BO22,TRUE),IF(AND(BO22="",BN22&lt;&gt;""),TRUE))</formula>
    </cfRule>
    <cfRule type="expression" dxfId="39" priority="50">
      <formula>IF(BN22&gt;=BO22,IF(BN22="",FALSE,TRUE))</formula>
    </cfRule>
  </conditionalFormatting>
  <conditionalFormatting sqref="BL53:BL57 BN53:BN57">
    <cfRule type="expression" dxfId="38" priority="39">
      <formula>OR(IF(BL53&lt;BM53,TRUE),IF(AND(BM53="",BL53&lt;&gt;""),TRUE))</formula>
    </cfRule>
    <cfRule type="expression" dxfId="37" priority="40">
      <formula>IF(BL53&gt;=BM53,IF(BL53="",FALSE,TRUE))</formula>
    </cfRule>
  </conditionalFormatting>
  <conditionalFormatting sqref="BL58">
    <cfRule type="expression" dxfId="36" priority="37">
      <formula>OR(IF(BL58&lt;BM58,TRUE),IF(AND(BM58="",BL58&lt;&gt;""),TRUE))</formula>
    </cfRule>
    <cfRule type="expression" dxfId="35" priority="38">
      <formula>IF(BL58&gt;=BM58,IF(BL58="",FALSE,TRUE))</formula>
    </cfRule>
  </conditionalFormatting>
  <conditionalFormatting sqref="BN58">
    <cfRule type="expression" dxfId="34" priority="35">
      <formula>OR(IF(BN58&lt;BO58,TRUE),IF(AND(BO58="",BN58&lt;&gt;""),TRUE))</formula>
    </cfRule>
    <cfRule type="expression" dxfId="33" priority="36">
      <formula>IF(BN58&gt;=BO58,IF(BN58="",FALSE,TRUE))</formula>
    </cfRule>
  </conditionalFormatting>
  <conditionalFormatting sqref="J5:K14">
    <cfRule type="colorScale" priority="404">
      <colorScale>
        <cfvo type="percent" val="0"/>
        <cfvo type="percent" val="100"/>
        <color rgb="FFFF231B"/>
        <color rgb="FF10FF07"/>
      </colorScale>
    </cfRule>
  </conditionalFormatting>
  <conditionalFormatting sqref="BL23:BL25 BN23:BN25">
    <cfRule type="expression" dxfId="32" priority="18">
      <formula>OR(IF(BL23&lt;BM23,TRUE),IF(AND(BM23="",BL23&lt;&gt;""),TRUE))</formula>
    </cfRule>
    <cfRule type="expression" dxfId="31" priority="19">
      <formula>IF(BL23&gt;=BM23,IF(BL23="",FALSE,TRUE))</formula>
    </cfRule>
  </conditionalFormatting>
  <conditionalFormatting sqref="O23:O25 Q23:Q25">
    <cfRule type="expression" dxfId="30" priority="32">
      <formula>OR(IF(O23&lt;P23,TRUE),IF(AND(P23="",O23&lt;&gt;""),TRUE))</formula>
    </cfRule>
    <cfRule type="expression" dxfId="29" priority="33">
      <formula>IF(O23&gt;=P23,IF(O23="",FALSE,TRUE))</formula>
    </cfRule>
  </conditionalFormatting>
  <conditionalFormatting sqref="AQ23:AQ25 AS23:AS25">
    <cfRule type="expression" dxfId="28" priority="24">
      <formula>OR(IF(AQ23&lt;AR23,TRUE),IF(AND(AR23="",AQ23&lt;&gt;""),TRUE))</formula>
    </cfRule>
    <cfRule type="expression" dxfId="27" priority="25">
      <formula>IF(AQ23&gt;=AR23,IF(AQ23="",FALSE,TRUE))</formula>
    </cfRule>
  </conditionalFormatting>
  <conditionalFormatting sqref="BE23:BE25 BG23:BG25">
    <cfRule type="expression" dxfId="26" priority="20">
      <formula>OR(IF(BE23&lt;BF23,TRUE),IF(AND(BF23="",BE23&lt;&gt;""),TRUE))</formula>
    </cfRule>
    <cfRule type="expression" dxfId="25" priority="21">
      <formula>IF(BE23&gt;=BF23,IF(BE23="",FALSE,TRUE))</formula>
    </cfRule>
  </conditionalFormatting>
  <conditionalFormatting sqref="V23:V25 X23:X25">
    <cfRule type="expression" dxfId="24" priority="30">
      <formula>OR(IF(V23&lt;W23,TRUE),IF(AND(W23="",V23&lt;&gt;""),TRUE))</formula>
    </cfRule>
    <cfRule type="expression" dxfId="23" priority="31">
      <formula>IF(V23&gt;=W23,IF(V23="",FALSE,TRUE))</formula>
    </cfRule>
  </conditionalFormatting>
  <conditionalFormatting sqref="AC23:AC25 AE23:AE25">
    <cfRule type="expression" dxfId="22" priority="28">
      <formula>OR(IF(AC23&lt;AD23,TRUE),IF(AND(AD23="",AC23&lt;&gt;""),TRUE))</formula>
    </cfRule>
    <cfRule type="expression" dxfId="21" priority="29">
      <formula>IF(AC23&gt;=AD23,IF(AC23="",FALSE,TRUE))</formula>
    </cfRule>
  </conditionalFormatting>
  <conditionalFormatting sqref="AJ23:AJ25 AL23:AL25">
    <cfRule type="expression" dxfId="20" priority="26">
      <formula>OR(IF(AJ23&lt;AK23,TRUE),IF(AND(AK23="",AJ23&lt;&gt;""),TRUE))</formula>
    </cfRule>
    <cfRule type="expression" dxfId="19" priority="27">
      <formula>IF(AJ23&gt;=AK23,IF(AJ23="",FALSE,TRUE))</formula>
    </cfRule>
  </conditionalFormatting>
  <conditionalFormatting sqref="AX23:AX25 AZ23:AZ25">
    <cfRule type="expression" dxfId="18" priority="22">
      <formula>OR(IF(AX23&lt;AY23,TRUE),IF(AND(AY23="",AX23&lt;&gt;""),TRUE))</formula>
    </cfRule>
    <cfRule type="expression" dxfId="17" priority="23">
      <formula>IF(AX23&gt;=AY23,IF(AX23="",FALSE,TRUE))</formula>
    </cfRule>
  </conditionalFormatting>
  <conditionalFormatting sqref="J26:K28">
    <cfRule type="colorScale" priority="414">
      <colorScale>
        <cfvo type="percent" val="0"/>
        <cfvo type="percent" val="100"/>
        <color rgb="FFFF231B"/>
        <color rgb="FF10FF07"/>
      </colorScale>
    </cfRule>
  </conditionalFormatting>
  <conditionalFormatting sqref="J23:K25">
    <cfRule type="colorScale" priority="415">
      <colorScale>
        <cfvo type="percent" val="0"/>
        <cfvo type="percent" val="100"/>
        <color rgb="FFFF231B"/>
        <color rgb="FF10FF07"/>
      </colorScale>
    </cfRule>
  </conditionalFormatting>
  <conditionalFormatting sqref="J31:K38">
    <cfRule type="colorScale" priority="587">
      <colorScale>
        <cfvo type="percent" val="0"/>
        <cfvo type="percent" val="100"/>
        <color rgb="FFFF231B"/>
        <color rgb="FF10FF07"/>
      </colorScale>
    </cfRule>
  </conditionalFormatting>
  <conditionalFormatting sqref="J41:K50">
    <cfRule type="colorScale" priority="621">
      <colorScale>
        <cfvo type="percent" val="0"/>
        <cfvo type="percent" val="100"/>
        <color rgb="FFFF231B"/>
        <color rgb="FF10FF07"/>
      </colorScale>
    </cfRule>
  </conditionalFormatting>
  <dataValidations count="1">
    <dataValidation type="list" allowBlank="1" showInputMessage="1" showErrorMessage="1" sqref="V53:Y58 AC53:AF58 AQ5:AT14 AJ53:AM58 AQ53:AT58 AX53:BA58 BE53:BH58 AJ5:AM14 BL53:BO58 BL5:BO14 BE5:BH14 AX5:BA14 BL17:BO28 O5:R14 AC5:AF14 V5:Y14 O17:R28 V17:Y28 AC17:AF28 AJ17:AM28 AQ17:AT28 AX17:BA28 BE31:BH38 AX31:BA38 BL31:BO38 O31:R38 O53:R58 BE41:BH50 AQ31:AT38 AJ31:AM38 V31:Y38 AC31:AF38 BL41:BO50 BE17:BH28 AJ41:AM50 AQ41:AT50 V41:Y50 AB47 O41:R50 AC41:AF50 AX41:BA50"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58"/>
  <sheetViews>
    <sheetView workbookViewId="0">
      <selection activeCell="G2" sqref="G2"/>
    </sheetView>
  </sheetViews>
  <sheetFormatPr baseColWidth="10"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46</v>
      </c>
      <c r="B1" s="16" t="s">
        <v>43</v>
      </c>
      <c r="C1" s="16" t="s">
        <v>44</v>
      </c>
      <c r="D1" s="16" t="s">
        <v>45</v>
      </c>
      <c r="E1" s="1" t="s">
        <v>47</v>
      </c>
      <c r="F1" s="1" t="s">
        <v>48</v>
      </c>
      <c r="G1" s="1" t="s">
        <v>49</v>
      </c>
      <c r="H1" s="1" t="s">
        <v>50</v>
      </c>
      <c r="I1" s="1" t="s">
        <v>51</v>
      </c>
      <c r="J1" s="1" t="s">
        <v>52</v>
      </c>
      <c r="K1" s="1" t="s">
        <v>53</v>
      </c>
    </row>
    <row r="2" spans="1:11">
      <c r="A2" s="15">
        <v>44327</v>
      </c>
      <c r="C2" s="11" t="s">
        <v>107</v>
      </c>
      <c r="D2" s="17"/>
    </row>
    <row r="3" spans="1:11">
      <c r="A3" s="15">
        <v>44328</v>
      </c>
    </row>
    <row r="4" spans="1:11">
      <c r="A4" s="15">
        <v>44329</v>
      </c>
    </row>
    <row r="5" spans="1:11">
      <c r="A5" s="15">
        <v>44330</v>
      </c>
    </row>
    <row r="6" spans="1:11">
      <c r="A6" s="15">
        <v>44331</v>
      </c>
    </row>
    <row r="7" spans="1:11">
      <c r="A7" s="15">
        <v>44332</v>
      </c>
    </row>
    <row r="8" spans="1:11">
      <c r="A8" s="15">
        <v>44333</v>
      </c>
    </row>
    <row r="9" spans="1:11">
      <c r="A9" s="15">
        <v>44334</v>
      </c>
    </row>
    <row r="10" spans="1:11">
      <c r="A10" s="15">
        <v>44335</v>
      </c>
    </row>
    <row r="11" spans="1:11">
      <c r="A11" s="15">
        <v>44336</v>
      </c>
    </row>
    <row r="12" spans="1:11">
      <c r="A12" s="15">
        <v>44337</v>
      </c>
    </row>
    <row r="13" spans="1:11">
      <c r="A13" s="15">
        <v>44338</v>
      </c>
    </row>
    <row r="14" spans="1:11">
      <c r="A14" s="15">
        <v>44339</v>
      </c>
    </row>
    <row r="15" spans="1:11">
      <c r="A15" s="15">
        <v>44340</v>
      </c>
    </row>
    <row r="16" spans="1:11">
      <c r="A16" s="15">
        <v>44341</v>
      </c>
    </row>
    <row r="17" spans="1:1">
      <c r="A17" s="15">
        <v>44342</v>
      </c>
    </row>
    <row r="18" spans="1:1">
      <c r="A18" s="15">
        <v>44343</v>
      </c>
    </row>
    <row r="19" spans="1:1">
      <c r="A19" s="15">
        <v>44344</v>
      </c>
    </row>
    <row r="20" spans="1:1">
      <c r="A20" s="15">
        <v>44345</v>
      </c>
    </row>
    <row r="21" spans="1:1">
      <c r="A21" s="15">
        <v>44346</v>
      </c>
    </row>
    <row r="22" spans="1:1">
      <c r="A22" s="15">
        <v>44347</v>
      </c>
    </row>
    <row r="23" spans="1:1">
      <c r="A23" s="15">
        <v>44348</v>
      </c>
    </row>
    <row r="24" spans="1:1">
      <c r="A24" s="15">
        <v>44349</v>
      </c>
    </row>
    <row r="25" spans="1:1">
      <c r="A25" s="15">
        <v>44350</v>
      </c>
    </row>
    <row r="26" spans="1:1">
      <c r="A26" s="15">
        <v>44351</v>
      </c>
    </row>
    <row r="27" spans="1:1">
      <c r="A27" s="15">
        <v>44352</v>
      </c>
    </row>
    <row r="28" spans="1:1">
      <c r="A28" s="15">
        <v>44353</v>
      </c>
    </row>
    <row r="29" spans="1:1">
      <c r="A29" s="15">
        <v>44354</v>
      </c>
    </row>
    <row r="30" spans="1:1">
      <c r="A30" s="15">
        <v>44355</v>
      </c>
    </row>
    <row r="31" spans="1:1">
      <c r="A31" s="15">
        <v>44356</v>
      </c>
    </row>
    <row r="32" spans="1:1">
      <c r="A32" s="15">
        <v>44357</v>
      </c>
    </row>
    <row r="33" spans="1:1">
      <c r="A33" s="15">
        <v>44358</v>
      </c>
    </row>
    <row r="34" spans="1:1">
      <c r="A34" s="15">
        <v>44359</v>
      </c>
    </row>
    <row r="35" spans="1:1">
      <c r="A35" s="15">
        <v>44360</v>
      </c>
    </row>
    <row r="36" spans="1:1">
      <c r="A36" s="15">
        <v>44361</v>
      </c>
    </row>
    <row r="37" spans="1:1">
      <c r="A37" s="15">
        <v>44362</v>
      </c>
    </row>
    <row r="38" spans="1:1">
      <c r="A38" s="15">
        <v>44363</v>
      </c>
    </row>
    <row r="39" spans="1:1">
      <c r="A39" s="15">
        <v>44364</v>
      </c>
    </row>
    <row r="40" spans="1:1">
      <c r="A40" s="15">
        <v>44365</v>
      </c>
    </row>
    <row r="41" spans="1:1">
      <c r="A41" s="15">
        <v>44366</v>
      </c>
    </row>
    <row r="42" spans="1:1">
      <c r="A42" s="15">
        <v>44367</v>
      </c>
    </row>
    <row r="43" spans="1:1">
      <c r="A43" s="15">
        <v>44368</v>
      </c>
    </row>
    <row r="44" spans="1:1">
      <c r="A44" s="15">
        <v>44369</v>
      </c>
    </row>
    <row r="45" spans="1:1">
      <c r="A45" s="15">
        <v>44370</v>
      </c>
    </row>
    <row r="46" spans="1:1">
      <c r="A46" s="15">
        <v>44371</v>
      </c>
    </row>
    <row r="47" spans="1:1">
      <c r="A47" s="15">
        <v>44372</v>
      </c>
    </row>
    <row r="48" spans="1:1">
      <c r="A48" s="15">
        <v>44373</v>
      </c>
    </row>
    <row r="49" spans="1:1">
      <c r="A49" s="15">
        <v>44374</v>
      </c>
    </row>
    <row r="50" spans="1:1">
      <c r="A50" s="15">
        <v>44375</v>
      </c>
    </row>
    <row r="51" spans="1:1">
      <c r="A51" s="15">
        <v>44376</v>
      </c>
    </row>
    <row r="52" spans="1:1">
      <c r="A52" s="15">
        <v>44377</v>
      </c>
    </row>
    <row r="53" spans="1:1">
      <c r="A53" s="15">
        <v>44378</v>
      </c>
    </row>
    <row r="54" spans="1:1">
      <c r="A54" s="15">
        <v>44379</v>
      </c>
    </row>
    <row r="55" spans="1:1">
      <c r="A55" s="15">
        <v>44380</v>
      </c>
    </row>
    <row r="56" spans="1:1">
      <c r="A56" s="15">
        <v>44381</v>
      </c>
    </row>
    <row r="57" spans="1:1">
      <c r="A57" s="15">
        <v>44382</v>
      </c>
    </row>
    <row r="58" spans="1:1">
      <c r="A58" s="15">
        <v>44383</v>
      </c>
    </row>
  </sheetData>
  <conditionalFormatting sqref="B2:B58">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58">
    <cfRule type="cellIs" dxfId="8" priority="4" operator="equal">
      <formula>"Ja"</formula>
    </cfRule>
  </conditionalFormatting>
  <conditionalFormatting sqref="C2:C58">
    <cfRule type="cellIs" dxfId="7" priority="2" operator="equal">
      <formula>"Ja"</formula>
    </cfRule>
    <cfRule type="cellIs" dxfId="6" priority="3" operator="equal">
      <formula>"Nein"</formula>
    </cfRule>
  </conditionalFormatting>
  <conditionalFormatting sqref="C2:C58">
    <cfRule type="cellIs" dxfId="5" priority="1" operator="equal">
      <formula>"Ja"</formula>
    </cfRule>
  </conditionalFormatting>
  <dataValidations count="2">
    <dataValidation type="list" allowBlank="1" showInputMessage="1" showErrorMessage="1" sqref="B2:C58"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B15" sqref="B15"/>
    </sheetView>
  </sheetViews>
  <sheetFormatPr baseColWidth="10" defaultColWidth="10.69921875"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c r="B11" s="21"/>
    </row>
    <row r="12" spans="1:8">
      <c r="A12" s="10">
        <v>0.3125</v>
      </c>
    </row>
    <row r="13" spans="1:8">
      <c r="A13" s="10">
        <v>0.33333333333333398</v>
      </c>
    </row>
    <row r="14" spans="1:8">
      <c r="A14" s="10">
        <v>0.35416666666666702</v>
      </c>
    </row>
    <row r="15" spans="1:8">
      <c r="A15" s="10">
        <v>0.375</v>
      </c>
    </row>
    <row r="16" spans="1:8">
      <c r="A16" s="10">
        <v>0.39583333333333398</v>
      </c>
      <c r="B16" s="20"/>
    </row>
    <row r="17" spans="1:2">
      <c r="A17" s="10">
        <v>0.41666666666666702</v>
      </c>
      <c r="B17" s="19"/>
    </row>
    <row r="18" spans="1:2">
      <c r="A18" s="10">
        <v>0.4375</v>
      </c>
      <c r="B18" s="19"/>
    </row>
    <row r="19" spans="1:2">
      <c r="A19" s="10">
        <v>0.45833333333333398</v>
      </c>
      <c r="B19" s="19"/>
    </row>
    <row r="20" spans="1:2">
      <c r="A20" s="10">
        <v>0.47916666666666702</v>
      </c>
      <c r="B20" s="19"/>
    </row>
    <row r="21" spans="1:2">
      <c r="A21" s="10">
        <v>0.5</v>
      </c>
    </row>
    <row r="22" spans="1:2">
      <c r="A22" s="10">
        <v>0.52083333333333404</v>
      </c>
    </row>
    <row r="23" spans="1:2">
      <c r="A23" s="10">
        <v>0.54166666666666696</v>
      </c>
    </row>
    <row r="24" spans="1:2">
      <c r="A24" s="10">
        <v>0.5625</v>
      </c>
    </row>
    <row r="25" spans="1:2">
      <c r="A25" s="10">
        <v>0.58333333333333404</v>
      </c>
    </row>
    <row r="26" spans="1:2">
      <c r="A26" s="10">
        <v>0.60416666666666696</v>
      </c>
    </row>
    <row r="27" spans="1:2">
      <c r="A27" s="10">
        <v>0.625000000000001</v>
      </c>
    </row>
    <row r="28" spans="1:2">
      <c r="A28" s="10">
        <v>0.64583333333333404</v>
      </c>
    </row>
    <row r="29" spans="1:2">
      <c r="A29" s="10">
        <v>0.66666666666666696</v>
      </c>
    </row>
    <row r="30" spans="1:2">
      <c r="A30" s="10">
        <v>0.687500000000001</v>
      </c>
    </row>
    <row r="31" spans="1:2">
      <c r="A31" s="10">
        <v>0.70833333333333404</v>
      </c>
    </row>
    <row r="32" spans="1:2">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9921875"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Maximilian Bambey </cp:lastModifiedBy>
  <dcterms:created xsi:type="dcterms:W3CDTF">2020-04-19T13:33:28Z</dcterms:created>
  <dcterms:modified xsi:type="dcterms:W3CDTF">2021-05-10T06:41:45Z</dcterms:modified>
</cp:coreProperties>
</file>