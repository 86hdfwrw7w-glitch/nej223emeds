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49157\Desktop\Uni\"/>
    </mc:Choice>
  </mc:AlternateContent>
  <xr:revisionPtr revIDLastSave="0" documentId="8_{580589F7-51BD-472F-8E09-A66D5CFA8C4F}" xr6:coauthVersionLast="47" xr6:coauthVersionMax="47" xr10:uidLastSave="{00000000-0000-0000-0000-000000000000}"/>
  <bookViews>
    <workbookView xWindow="-108" yWindow="-108" windowWidth="23256" windowHeight="12576" activeTab="1" xr2:uid="{50F29292-BE80-0C47-A0D2-DD086CB3D310}"/>
  </bookViews>
  <sheets>
    <sheet name="Anleitung" sheetId="2" r:id="rId1"/>
    <sheet name="Semesterplan" sheetId="7" r:id="rId2"/>
    <sheet name="COMMITTMENT" sheetId="9"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P57" i="7" l="1"/>
  <c r="AP43" i="7"/>
  <c r="AP29" i="7"/>
  <c r="AP15" i="7"/>
  <c r="AP4" i="7"/>
  <c r="CM57" i="7"/>
  <c r="CM43" i="7"/>
  <c r="CM29" i="7"/>
  <c r="CM15" i="7"/>
  <c r="CM4" i="7"/>
  <c r="CF57" i="7"/>
  <c r="CF43" i="7"/>
  <c r="CF29" i="7"/>
  <c r="CF15" i="7"/>
  <c r="CF4" i="7"/>
  <c r="BY57" i="7"/>
  <c r="BY43" i="7"/>
  <c r="BY29" i="7"/>
  <c r="BY15" i="7"/>
  <c r="BY4" i="7"/>
  <c r="BR57" i="7"/>
  <c r="BR43" i="7"/>
  <c r="BR29" i="7"/>
  <c r="BR15" i="7"/>
  <c r="BR4" i="7"/>
  <c r="BK57" i="7"/>
  <c r="BK43" i="7"/>
  <c r="BK29" i="7"/>
  <c r="BK15" i="7"/>
  <c r="BK4" i="7"/>
  <c r="AI15" i="7"/>
  <c r="AB15" i="7"/>
  <c r="U15" i="7"/>
  <c r="N15" i="7"/>
  <c r="G15" i="7"/>
  <c r="G29" i="7"/>
  <c r="N29" i="7"/>
  <c r="U29" i="7"/>
  <c r="AB29" i="7"/>
  <c r="AI29" i="7"/>
  <c r="AW29" i="7"/>
  <c r="BD29" i="7"/>
  <c r="I30" i="7"/>
  <c r="J30" i="7"/>
  <c r="K30" i="7"/>
  <c r="I31" i="7"/>
  <c r="J31" i="7"/>
  <c r="K31" i="7"/>
  <c r="I32" i="7"/>
  <c r="J32" i="7"/>
  <c r="K32" i="7"/>
  <c r="I33" i="7"/>
  <c r="J33" i="7"/>
  <c r="K33" i="7"/>
  <c r="I34" i="7"/>
  <c r="J34" i="7"/>
  <c r="K34" i="7"/>
  <c r="I35" i="7"/>
  <c r="J35" i="7"/>
  <c r="K35" i="7"/>
  <c r="I36" i="7"/>
  <c r="J36" i="7"/>
  <c r="K36" i="7"/>
  <c r="I37" i="7"/>
  <c r="J37" i="7"/>
  <c r="K37" i="7"/>
  <c r="I38" i="7"/>
  <c r="J38" i="7"/>
  <c r="K38" i="7"/>
  <c r="I39" i="7"/>
  <c r="J39" i="7"/>
  <c r="K39" i="7"/>
  <c r="I40" i="7"/>
  <c r="J40" i="7"/>
  <c r="K40" i="7"/>
  <c r="I41" i="7"/>
  <c r="J41" i="7"/>
  <c r="K41" i="7"/>
  <c r="G43" i="7"/>
  <c r="N43" i="7"/>
  <c r="U43" i="7"/>
  <c r="AB43" i="7"/>
  <c r="AI43" i="7"/>
  <c r="AW43" i="7"/>
  <c r="BD43" i="7"/>
  <c r="I44" i="7"/>
  <c r="J44" i="7"/>
  <c r="K44" i="7"/>
  <c r="I45" i="7"/>
  <c r="J45" i="7"/>
  <c r="K45" i="7"/>
  <c r="I46" i="7"/>
  <c r="J46" i="7"/>
  <c r="K46" i="7"/>
  <c r="I47" i="7"/>
  <c r="J47" i="7"/>
  <c r="K47" i="7"/>
  <c r="I48" i="7"/>
  <c r="J48" i="7"/>
  <c r="K48" i="7"/>
  <c r="I49" i="7"/>
  <c r="J49" i="7"/>
  <c r="K49" i="7"/>
  <c r="I50" i="7"/>
  <c r="J50" i="7"/>
  <c r="K50" i="7"/>
  <c r="I51" i="7"/>
  <c r="J51" i="7"/>
  <c r="K51" i="7"/>
  <c r="I52" i="7"/>
  <c r="J52" i="7"/>
  <c r="K52" i="7"/>
  <c r="I53" i="7"/>
  <c r="J53" i="7"/>
  <c r="K53" i="7"/>
  <c r="I54" i="7"/>
  <c r="J54" i="7"/>
  <c r="K54" i="7"/>
  <c r="I55" i="7"/>
  <c r="J55" i="7"/>
  <c r="K55" i="7"/>
  <c r="G57" i="7"/>
  <c r="I57" i="7"/>
  <c r="J57" i="7"/>
  <c r="K57" i="7"/>
  <c r="N57" i="7"/>
  <c r="U57" i="7"/>
  <c r="AB57" i="7"/>
  <c r="AI57" i="7"/>
  <c r="AW57" i="7"/>
  <c r="BD57" i="7"/>
  <c r="K27" i="7"/>
  <c r="J27" i="7"/>
  <c r="I27" i="7"/>
  <c r="K26" i="7"/>
  <c r="J26" i="7"/>
  <c r="I26" i="7"/>
  <c r="K25" i="7"/>
  <c r="J25" i="7"/>
  <c r="I25" i="7"/>
  <c r="K24" i="7"/>
  <c r="J24" i="7"/>
  <c r="I24" i="7"/>
  <c r="K23" i="7"/>
  <c r="J23" i="7"/>
  <c r="I23" i="7"/>
  <c r="K22" i="7"/>
  <c r="J22" i="7"/>
  <c r="I22" i="7"/>
  <c r="K21" i="7"/>
  <c r="J21" i="7"/>
  <c r="I21" i="7"/>
  <c r="K20" i="7"/>
  <c r="J20" i="7"/>
  <c r="I20" i="7"/>
  <c r="K19" i="7"/>
  <c r="J19" i="7"/>
  <c r="I19" i="7"/>
  <c r="K18" i="7"/>
  <c r="J18" i="7"/>
  <c r="I18" i="7"/>
  <c r="K17" i="7"/>
  <c r="J17" i="7"/>
  <c r="I17" i="7"/>
  <c r="K16" i="7"/>
  <c r="J16" i="7"/>
  <c r="I16" i="7"/>
  <c r="BD15" i="7"/>
  <c r="AW15" i="7"/>
  <c r="BD4" i="7"/>
  <c r="AW4" i="7"/>
  <c r="AI4" i="7"/>
  <c r="AB4" i="7"/>
  <c r="U4" i="7"/>
  <c r="N4" i="7"/>
  <c r="G4" i="7"/>
  <c r="I6" i="7"/>
  <c r="I7" i="7"/>
  <c r="I8" i="7"/>
  <c r="I9" i="7"/>
  <c r="I10" i="7"/>
  <c r="I11" i="7"/>
  <c r="I12" i="7"/>
  <c r="I13" i="7"/>
  <c r="I5" i="7"/>
  <c r="J5" i="7"/>
  <c r="K6" i="7"/>
  <c r="K7" i="7"/>
  <c r="K8" i="7"/>
  <c r="K9" i="7"/>
  <c r="K10" i="7"/>
  <c r="K11" i="7"/>
  <c r="K12" i="7"/>
  <c r="K13" i="7"/>
  <c r="J6" i="7"/>
  <c r="J7" i="7"/>
  <c r="J8" i="7"/>
  <c r="J9" i="7"/>
  <c r="J10" i="7"/>
  <c r="J11" i="7"/>
  <c r="J12" i="7"/>
  <c r="J13" i="7"/>
  <c r="K5" i="7"/>
  <c r="J15" i="7" l="1"/>
  <c r="K15" i="7"/>
  <c r="K43" i="7"/>
  <c r="J43" i="7"/>
  <c r="I43" i="7"/>
  <c r="K29" i="7"/>
  <c r="J29" i="7"/>
  <c r="I29" i="7"/>
  <c r="I15" i="7"/>
  <c r="K4" i="7"/>
  <c r="I4" i="7" l="1"/>
  <c r="J4" i="7"/>
</calcChain>
</file>

<file path=xl/sharedStrings.xml><?xml version="1.0" encoding="utf-8"?>
<sst xmlns="http://schemas.openxmlformats.org/spreadsheetml/2006/main" count="271" uniqueCount="91">
  <si>
    <t>Semesterplan</t>
  </si>
  <si>
    <t>Fach</t>
  </si>
  <si>
    <t>Skript Niveau</t>
  </si>
  <si>
    <t>Rechnen Niveau</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</si>
  <si>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</si>
  <si>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</si>
  <si>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</si>
  <si>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</si>
  <si>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</si>
  <si>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</si>
  <si>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</si>
  <si>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</si>
  <si>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</si>
  <si>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</si>
  <si>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</si>
  <si>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</si>
  <si>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</si>
  <si>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</si>
  <si>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Typ</t>
  </si>
  <si>
    <t>Übersicht</t>
  </si>
  <si>
    <t>Thema</t>
  </si>
  <si>
    <t>Fachgebiet</t>
  </si>
  <si>
    <t>1) Einführung</t>
  </si>
  <si>
    <t>2) Aktuelle Herausforderungen an das Marketing</t>
  </si>
  <si>
    <t>3) Marktforschung</t>
  </si>
  <si>
    <t>4) Marketingziele &amp; -prognosen</t>
  </si>
  <si>
    <t>5) Strategisches Marketing</t>
  </si>
  <si>
    <t>6) Konsumentenorientieres Marketing</t>
  </si>
  <si>
    <t>7) Produkt</t>
  </si>
  <si>
    <t>8) Marke</t>
  </si>
  <si>
    <t>9) Preis</t>
  </si>
  <si>
    <t>10) Kommunikation</t>
  </si>
  <si>
    <t>11) Distribution &amp; E-Commerce</t>
  </si>
  <si>
    <t>12) Implementierung &amp; Controlling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</si>
  <si>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</si>
  <si>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</si>
  <si>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</si>
  <si>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</si>
  <si>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</si>
  <si>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</si>
  <si>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</si>
  <si>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</si>
  <si>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</si>
  <si>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</si>
  <si>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</si>
  <si>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</si>
  <si>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</si>
  <si>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</si>
  <si>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</si>
  <si>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</si>
  <si>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</si>
  <si>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</si>
  <si>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</si>
  <si>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Analysis für Informatiker</t>
  </si>
  <si>
    <t>Diskrete Strukturen</t>
  </si>
  <si>
    <t>Mentoring</t>
  </si>
  <si>
    <t>Technische Informatik</t>
  </si>
  <si>
    <t>Programmierung</t>
  </si>
  <si>
    <t>KW 41</t>
  </si>
  <si>
    <t>KW 42</t>
  </si>
  <si>
    <t>KW 43</t>
  </si>
  <si>
    <t>KW 44</t>
  </si>
  <si>
    <t>KW 51</t>
  </si>
  <si>
    <t>KW 52</t>
  </si>
  <si>
    <t>1) Grundlegendes</t>
  </si>
  <si>
    <t>KW 45</t>
  </si>
  <si>
    <t>KW 46</t>
  </si>
  <si>
    <t>KW 47</t>
  </si>
  <si>
    <t>KW 48</t>
  </si>
  <si>
    <t>KW 49</t>
  </si>
  <si>
    <t>KW 50</t>
  </si>
  <si>
    <t>1) Mathematische Grundbegriffe</t>
  </si>
  <si>
    <t>2) Algebraische Strukturen</t>
  </si>
  <si>
    <t>3) Lineare Gleichungssysteme und Matrizen</t>
  </si>
  <si>
    <t>4) Kombinatorik</t>
  </si>
  <si>
    <t>5) Graphentheorie</t>
  </si>
  <si>
    <t>7) Lineare Abbildungen</t>
  </si>
  <si>
    <t>6) Vektorräume</t>
  </si>
  <si>
    <t>8) Determinanten und Eigenvektoren</t>
  </si>
  <si>
    <t>9) Euklidische und Unitäre Vektorräume</t>
  </si>
  <si>
    <t xml:space="preserve">2) Zahlenbereiche und math. Strukturen </t>
  </si>
  <si>
    <t>3) Folgen und Reihen</t>
  </si>
  <si>
    <t>4) Komplexe Zahlen und Zahlenfolgen</t>
  </si>
  <si>
    <t>5) Reele Funktionen</t>
  </si>
  <si>
    <t>6) Grenzwerte und Stetigkeit</t>
  </si>
  <si>
    <t>7) Differentialrechnung</t>
  </si>
  <si>
    <t>8) Stammfunktion und Integrale 1</t>
  </si>
  <si>
    <t>9) Stammfunktion und Integrale 2</t>
  </si>
  <si>
    <t>10) Funktionen mehrerer Verändlicher 1</t>
  </si>
  <si>
    <t>11) Funktionen mehrerer Verändlicher 2</t>
  </si>
  <si>
    <t>12) Funktionen mehrerer Verändlicher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</si>
</sst>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s>
  <fills count="4">
    <fill>
      <patternFill patternType="none"/>
    </fill>
    <fill>
      <patternFill patternType="gray125"/>
    </fill>
    <fill>
      <patternFill patternType="solid">
        <fgColor rgb="FFE0E0E0"/>
        <bgColor indexed="64"/>
      </patternFill>
    </fill>
    <fill>
      <patternFill patternType="solid">
        <fgColor rgb="FFFDFF05"/>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0" fillId="0" borderId="0" xfId="0" applyFill="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1" fillId="2" borderId="0" xfId="0" applyFont="1" applyFill="1" applyAlignment="1">
      <alignment horizontal="center"/>
    </xf>
    <xf numFmtId="16" fontId="0" fillId="0" borderId="0" xfId="0" applyNumberFormat="1"/>
    <xf numFmtId="14" fontId="0" fillId="0" borderId="0" xfId="0" applyNumberFormat="1"/>
  </cellXfs>
  <cellStyles count="1">
    <cellStyle name="Standard" xfId="0" builtinId="0"/>
  </cellStyles>
  <dxfs count="211">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210">
  <autoFilter ref="A1:K46" xr:uid="{6E266E34-2786-2747-BCE7-51B74867A564}"/>
  <tableColumns count="11">
    <tableColumn id="1" xr3:uid="{95FD92F7-3DC8-704D-A103-A7EDDAB255AB}" name="Datum" dataDxfId="209"/>
    <tableColumn id="2" xr3:uid="{F464D510-8166-E740-A343-FB84BDEF877F}" name="Lerneinheiten durchgezogen" dataDxfId="208"/>
    <tableColumn id="3" xr3:uid="{75F52B08-1A00-0848-BBE6-1EDF7B31B1AD}" name="Tagesplan erstellt" dataDxfId="207"/>
    <tableColumn id="4" xr3:uid="{E6B18D89-E799-AD48-9DAA-37AEE1D29011}" name="Konzentrationslevel" dataDxfId="206"/>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9921875" defaultRowHeight="15.6" x14ac:dyDescent="0.3"/>
  <cols>
    <col min="2" max="2" width="161" customWidth="1"/>
    <col min="3" max="3" width="10.796875" style="2"/>
  </cols>
  <sheetData>
    <row r="4" spans="2:2" ht="21" x14ac:dyDescent="0.4">
      <c r="B4" s="4" t="s">
        <v>9</v>
      </c>
    </row>
    <row r="6" spans="2:2" x14ac:dyDescent="0.3">
      <c r="B6" s="3" t="s">
        <v>6</v>
      </c>
    </row>
    <row r="7" spans="2:2" ht="46.8" x14ac:dyDescent="0.3">
      <c r="B7" s="1" t="s">
        <v>7</v>
      </c>
    </row>
    <row r="9" spans="2:2" x14ac:dyDescent="0.3">
      <c r="B9" s="3" t="s">
        <v>8</v>
      </c>
    </row>
    <row r="10" spans="2:2" ht="62.4" x14ac:dyDescent="0.3">
      <c r="B10" s="1" t="s">
        <v>39</v>
      </c>
    </row>
    <row r="12" spans="2:2" x14ac:dyDescent="0.3">
      <c r="B12" s="3" t="s">
        <v>10</v>
      </c>
    </row>
    <row r="13" spans="2:2" ht="140.4" x14ac:dyDescent="0.3">
      <c r="B13" s="1" t="s">
        <v>11</v>
      </c>
    </row>
    <row r="15" spans="2:2" x14ac:dyDescent="0.3">
      <c r="B15" s="3" t="s">
        <v>12</v>
      </c>
    </row>
    <row r="16" spans="2:2" ht="109.2" x14ac:dyDescent="0.3">
      <c r="B16" s="1" t="s">
        <v>13</v>
      </c>
    </row>
    <row r="17" spans="2:2" x14ac:dyDescent="0.3">
      <c r="B17" s="1"/>
    </row>
    <row r="18" spans="2:2" x14ac:dyDescent="0.3">
      <c r="B18" s="3" t="s">
        <v>38</v>
      </c>
    </row>
    <row r="19" spans="2:2" ht="140.4" x14ac:dyDescent="0.3">
      <c r="B19" s="1" t="s">
        <v>40</v>
      </c>
    </row>
    <row r="21" spans="2:2" x14ac:dyDescent="0.3">
      <c r="B21" s="3" t="s">
        <v>14</v>
      </c>
    </row>
    <row r="22" spans="2:2" ht="124.8" x14ac:dyDescent="0.3">
      <c r="B22" s="1" t="s">
        <v>41</v>
      </c>
    </row>
    <row r="24" spans="2:2" x14ac:dyDescent="0.3">
      <c r="B24" s="3" t="s">
        <v>15</v>
      </c>
    </row>
    <row r="25" spans="2:2" ht="124.8" x14ac:dyDescent="0.3">
      <c r="B25" s="1"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CR57"/>
  <sheetViews>
    <sheetView showGridLines="0" tabSelected="1" topLeftCell="D2" zoomScale="77" zoomScaleNormal="75" workbookViewId="0">
      <pane xSplit="4" topLeftCell="Y1" activePane="topRight" state="frozen"/>
      <selection activeCell="D2" sqref="D2"/>
      <selection pane="topRight" activeCell="AF11" sqref="AF11"/>
    </sheetView>
  </sheetViews>
  <sheetFormatPr baseColWidth="10" defaultColWidth="8.796875" defaultRowHeight="15.6" outlineLevelRow="1" x14ac:dyDescent="0.3"/>
  <cols>
    <col min="3" max="3" width="9.5" bestFit="1" customWidth="1"/>
    <col min="4" max="4" width="13" bestFit="1" customWidth="1"/>
    <col min="5" max="5" width="4.796875" bestFit="1" customWidth="1"/>
    <col min="6" max="6" width="41.19921875" bestFit="1" customWidth="1"/>
    <col min="7" max="7" width="15.5" bestFit="1" customWidth="1"/>
    <col min="8" max="8" width="2.5" customWidth="1"/>
    <col min="10" max="10" width="12.5" bestFit="1" customWidth="1"/>
    <col min="11" max="11" width="14.796875" bestFit="1" customWidth="1"/>
    <col min="12" max="12" width="12.69921875" bestFit="1" customWidth="1"/>
    <col min="13" max="13" width="2.5" customWidth="1"/>
    <col min="15" max="15" width="12.5" bestFit="1" customWidth="1"/>
    <col min="16" max="16" width="6.296875" customWidth="1"/>
    <col min="17" max="17" width="14.796875" bestFit="1" customWidth="1"/>
    <col min="18" max="18" width="6" customWidth="1"/>
    <col min="19" max="19" width="12.69921875" bestFit="1" customWidth="1"/>
    <col min="20" max="20" width="2.5" customWidth="1"/>
    <col min="22" max="22" width="12.5" bestFit="1" customWidth="1"/>
    <col min="23" max="23" width="6.296875" customWidth="1"/>
    <col min="24" max="24" width="14.796875" bestFit="1" customWidth="1"/>
    <col min="25" max="25" width="6" customWidth="1"/>
    <col min="26" max="26" width="12.69921875" bestFit="1" customWidth="1"/>
    <col min="27" max="27" width="2.5" customWidth="1"/>
    <col min="29" max="29" width="12.5" bestFit="1" customWidth="1"/>
    <col min="30" max="30" width="6.296875" customWidth="1"/>
    <col min="31" max="31" width="14.796875" bestFit="1" customWidth="1"/>
    <col min="32" max="32" width="6" customWidth="1"/>
    <col min="33" max="33" width="12.69921875" bestFit="1" customWidth="1"/>
    <col min="34" max="34" width="2.5" customWidth="1"/>
    <col min="36" max="36" width="12.5" bestFit="1" customWidth="1"/>
    <col min="37" max="37" width="6.296875" customWidth="1"/>
    <col min="38" max="38" width="14.796875" bestFit="1" customWidth="1"/>
    <col min="39" max="39" width="6" customWidth="1"/>
    <col min="40" max="40" width="12.69921875" bestFit="1" customWidth="1"/>
    <col min="41" max="41" width="2.5" customWidth="1"/>
    <col min="43" max="43" width="12.5" bestFit="1" customWidth="1"/>
    <col min="44" max="44" width="6.296875" customWidth="1"/>
    <col min="45" max="45" width="14.796875" bestFit="1" customWidth="1"/>
    <col min="46" max="46" width="6" customWidth="1"/>
    <col min="47" max="47" width="12.69921875" bestFit="1" customWidth="1"/>
    <col min="48" max="48" width="2.5" customWidth="1"/>
    <col min="50" max="50" width="12.5" bestFit="1" customWidth="1"/>
    <col min="51" max="51" width="6.296875" customWidth="1"/>
    <col min="52" max="52" width="14.796875" bestFit="1" customWidth="1"/>
    <col min="53" max="53" width="6" customWidth="1"/>
    <col min="54" max="54" width="12.69921875" bestFit="1" customWidth="1"/>
    <col min="55" max="55" width="2.5" customWidth="1"/>
    <col min="57" max="57" width="12.5" bestFit="1" customWidth="1"/>
    <col min="58" max="58" width="6.296875" customWidth="1"/>
    <col min="59" max="59" width="14.796875" customWidth="1"/>
    <col min="60" max="60" width="6" customWidth="1"/>
    <col min="61" max="61" width="12.69921875" customWidth="1"/>
    <col min="62" max="62" width="2.5" customWidth="1"/>
    <col min="64" max="64" width="12.5" bestFit="1" customWidth="1"/>
    <col min="65" max="65" width="6.296875" customWidth="1"/>
    <col min="66" max="66" width="14.796875" bestFit="1" customWidth="1"/>
    <col min="67" max="67" width="6" customWidth="1"/>
    <col min="68" max="68" width="12.69921875" bestFit="1" customWidth="1"/>
    <col min="69" max="69" width="2.5" customWidth="1"/>
    <col min="71" max="71" width="12.5" bestFit="1" customWidth="1"/>
    <col min="72" max="72" width="6.296875" customWidth="1"/>
    <col min="73" max="73" width="14.796875" bestFit="1" customWidth="1"/>
    <col min="74" max="74" width="6" customWidth="1"/>
    <col min="75" max="75" width="12.69921875" bestFit="1" customWidth="1"/>
    <col min="76" max="76" width="2.5" customWidth="1"/>
    <col min="78" max="78" width="12.5" bestFit="1" customWidth="1"/>
    <col min="79" max="79" width="6.296875" customWidth="1"/>
    <col min="80" max="80" width="14.796875" bestFit="1" customWidth="1"/>
    <col min="81" max="81" width="6" customWidth="1"/>
    <col min="82" max="82" width="12.69921875" bestFit="1" customWidth="1"/>
    <col min="83" max="83" width="2.5" customWidth="1"/>
    <col min="85" max="85" width="12.5" bestFit="1" customWidth="1"/>
    <col min="86" max="86" width="6.296875" customWidth="1"/>
    <col min="87" max="87" width="14.796875" bestFit="1" customWidth="1"/>
    <col min="88" max="88" width="6" customWidth="1"/>
    <col min="89" max="89" width="12.69921875" bestFit="1" customWidth="1"/>
    <col min="90" max="90" width="2.5" customWidth="1"/>
    <col min="92" max="92" width="12.5" bestFit="1" customWidth="1"/>
    <col min="93" max="93" width="6.296875" customWidth="1"/>
    <col min="94" max="94" width="14.796875" bestFit="1" customWidth="1"/>
    <col min="95" max="95" width="6" customWidth="1"/>
    <col min="96" max="96" width="12.69921875" bestFit="1" customWidth="1"/>
    <col min="97" max="97" width="2.5" customWidth="1"/>
  </cols>
  <sheetData>
    <row r="1" spans="2:96" ht="33.6" x14ac:dyDescent="0.65">
      <c r="B1" s="5" t="s">
        <v>0</v>
      </c>
      <c r="D1" s="5"/>
      <c r="G1" s="13" t="s">
        <v>37</v>
      </c>
      <c r="I1" s="13" t="s">
        <v>37</v>
      </c>
      <c r="J1" s="13" t="s">
        <v>37</v>
      </c>
      <c r="K1" s="13" t="s">
        <v>37</v>
      </c>
    </row>
    <row r="2" spans="2:96" x14ac:dyDescent="0.3">
      <c r="I2" s="17" t="s">
        <v>19</v>
      </c>
      <c r="J2" s="17"/>
      <c r="K2" s="17"/>
      <c r="L2" s="17"/>
      <c r="N2" s="17" t="s">
        <v>58</v>
      </c>
      <c r="O2" s="17"/>
      <c r="P2" s="17"/>
      <c r="Q2" s="17"/>
      <c r="R2" s="17"/>
      <c r="S2" s="17"/>
      <c r="U2" s="17" t="s">
        <v>59</v>
      </c>
      <c r="V2" s="17"/>
      <c r="W2" s="17"/>
      <c r="X2" s="17"/>
      <c r="Y2" s="17"/>
      <c r="Z2" s="17"/>
      <c r="AB2" s="17" t="s">
        <v>60</v>
      </c>
      <c r="AC2" s="17"/>
      <c r="AD2" s="17"/>
      <c r="AE2" s="17"/>
      <c r="AF2" s="17"/>
      <c r="AG2" s="17"/>
      <c r="AI2" s="17" t="s">
        <v>61</v>
      </c>
      <c r="AJ2" s="17"/>
      <c r="AK2" s="17"/>
      <c r="AL2" s="17"/>
      <c r="AM2" s="17"/>
      <c r="AN2" s="17"/>
      <c r="AP2" s="17" t="s">
        <v>65</v>
      </c>
      <c r="AQ2" s="17"/>
      <c r="AR2" s="17"/>
      <c r="AS2" s="17"/>
      <c r="AT2" s="17"/>
      <c r="AU2" s="17"/>
      <c r="AW2" s="17" t="s">
        <v>66</v>
      </c>
      <c r="AX2" s="17"/>
      <c r="AY2" s="17"/>
      <c r="AZ2" s="17"/>
      <c r="BA2" s="17"/>
      <c r="BB2" s="17"/>
      <c r="BD2" s="17" t="s">
        <v>67</v>
      </c>
      <c r="BE2" s="17"/>
      <c r="BF2" s="17"/>
      <c r="BG2" s="17"/>
      <c r="BH2" s="17"/>
      <c r="BI2" s="17"/>
      <c r="BK2" s="17" t="s">
        <v>68</v>
      </c>
      <c r="BL2" s="17"/>
      <c r="BM2" s="17"/>
      <c r="BN2" s="17"/>
      <c r="BO2" s="17"/>
      <c r="BP2" s="17"/>
      <c r="BR2" s="17" t="s">
        <v>69</v>
      </c>
      <c r="BS2" s="17"/>
      <c r="BT2" s="17"/>
      <c r="BU2" s="17"/>
      <c r="BV2" s="17"/>
      <c r="BW2" s="17"/>
      <c r="BY2" s="17" t="s">
        <v>70</v>
      </c>
      <c r="BZ2" s="17"/>
      <c r="CA2" s="17"/>
      <c r="CB2" s="17"/>
      <c r="CC2" s="17"/>
      <c r="CD2" s="17"/>
      <c r="CF2" s="17" t="s">
        <v>62</v>
      </c>
      <c r="CG2" s="17"/>
      <c r="CH2" s="17"/>
      <c r="CI2" s="17"/>
      <c r="CJ2" s="17"/>
      <c r="CK2" s="17"/>
      <c r="CM2" s="17" t="s">
        <v>63</v>
      </c>
      <c r="CN2" s="17"/>
      <c r="CO2" s="17"/>
      <c r="CP2" s="17"/>
      <c r="CQ2" s="17"/>
      <c r="CR2" s="17"/>
    </row>
    <row r="3" spans="2:96" x14ac:dyDescent="0.3">
      <c r="B3" s="6" t="s">
        <v>18</v>
      </c>
      <c r="C3" s="6" t="s">
        <v>1</v>
      </c>
      <c r="D3" s="6" t="s">
        <v>17</v>
      </c>
      <c r="E3" s="7" t="s">
        <v>34</v>
      </c>
      <c r="F3" s="6" t="s">
        <v>21</v>
      </c>
      <c r="G3" s="6" t="s">
        <v>35</v>
      </c>
      <c r="I3" s="7" t="s">
        <v>4</v>
      </c>
      <c r="J3" s="7" t="s">
        <v>2</v>
      </c>
      <c r="K3" s="7" t="s">
        <v>3</v>
      </c>
      <c r="L3" s="7" t="s">
        <v>5</v>
      </c>
      <c r="N3" s="6" t="s">
        <v>4</v>
      </c>
      <c r="O3" s="6" t="s">
        <v>2</v>
      </c>
      <c r="P3" s="6" t="s">
        <v>36</v>
      </c>
      <c r="Q3" s="6" t="s">
        <v>3</v>
      </c>
      <c r="R3" s="6" t="s">
        <v>36</v>
      </c>
      <c r="S3" s="6" t="s">
        <v>5</v>
      </c>
      <c r="U3" s="6" t="s">
        <v>4</v>
      </c>
      <c r="V3" s="6" t="s">
        <v>2</v>
      </c>
      <c r="W3" s="6" t="s">
        <v>36</v>
      </c>
      <c r="X3" s="6" t="s">
        <v>3</v>
      </c>
      <c r="Y3" s="6" t="s">
        <v>36</v>
      </c>
      <c r="Z3" s="6" t="s">
        <v>5</v>
      </c>
      <c r="AB3" s="6" t="s">
        <v>4</v>
      </c>
      <c r="AC3" s="6" t="s">
        <v>2</v>
      </c>
      <c r="AD3" s="6" t="s">
        <v>36</v>
      </c>
      <c r="AE3" s="6" t="s">
        <v>3</v>
      </c>
      <c r="AF3" s="6" t="s">
        <v>36</v>
      </c>
      <c r="AG3" s="6" t="s">
        <v>5</v>
      </c>
      <c r="AI3" s="6" t="s">
        <v>4</v>
      </c>
      <c r="AJ3" s="6" t="s">
        <v>2</v>
      </c>
      <c r="AK3" s="6" t="s">
        <v>36</v>
      </c>
      <c r="AL3" s="6" t="s">
        <v>3</v>
      </c>
      <c r="AM3" s="6" t="s">
        <v>36</v>
      </c>
      <c r="AN3" s="6" t="s">
        <v>5</v>
      </c>
      <c r="AP3" s="6" t="s">
        <v>4</v>
      </c>
      <c r="AQ3" s="6" t="s">
        <v>2</v>
      </c>
      <c r="AR3" s="6" t="s">
        <v>36</v>
      </c>
      <c r="AS3" s="6" t="s">
        <v>3</v>
      </c>
      <c r="AT3" s="6" t="s">
        <v>36</v>
      </c>
      <c r="AU3" s="6" t="s">
        <v>5</v>
      </c>
      <c r="AW3" s="6" t="s">
        <v>4</v>
      </c>
      <c r="AX3" s="6" t="s">
        <v>2</v>
      </c>
      <c r="AY3" s="6" t="s">
        <v>36</v>
      </c>
      <c r="AZ3" s="6" t="s">
        <v>3</v>
      </c>
      <c r="BA3" s="6" t="s">
        <v>36</v>
      </c>
      <c r="BB3" s="6" t="s">
        <v>5</v>
      </c>
      <c r="BD3" s="6" t="s">
        <v>4</v>
      </c>
      <c r="BE3" s="6" t="s">
        <v>2</v>
      </c>
      <c r="BF3" s="6" t="s">
        <v>36</v>
      </c>
      <c r="BG3" s="6" t="s">
        <v>3</v>
      </c>
      <c r="BH3" s="6" t="s">
        <v>36</v>
      </c>
      <c r="BI3" s="6" t="s">
        <v>5</v>
      </c>
      <c r="BK3" s="6" t="s">
        <v>4</v>
      </c>
      <c r="BL3" s="6" t="s">
        <v>2</v>
      </c>
      <c r="BM3" s="6" t="s">
        <v>36</v>
      </c>
      <c r="BN3" s="6" t="s">
        <v>3</v>
      </c>
      <c r="BO3" s="6" t="s">
        <v>36</v>
      </c>
      <c r="BP3" s="6" t="s">
        <v>5</v>
      </c>
      <c r="BR3" s="6" t="s">
        <v>4</v>
      </c>
      <c r="BS3" s="6" t="s">
        <v>2</v>
      </c>
      <c r="BT3" s="6" t="s">
        <v>36</v>
      </c>
      <c r="BU3" s="6" t="s">
        <v>3</v>
      </c>
      <c r="BV3" s="6" t="s">
        <v>36</v>
      </c>
      <c r="BW3" s="6" t="s">
        <v>5</v>
      </c>
      <c r="BY3" s="6" t="s">
        <v>4</v>
      </c>
      <c r="BZ3" s="6" t="s">
        <v>2</v>
      </c>
      <c r="CA3" s="6" t="s">
        <v>36</v>
      </c>
      <c r="CB3" s="6" t="s">
        <v>3</v>
      </c>
      <c r="CC3" s="6" t="s">
        <v>36</v>
      </c>
      <c r="CD3" s="6" t="s">
        <v>5</v>
      </c>
      <c r="CF3" s="6" t="s">
        <v>4</v>
      </c>
      <c r="CG3" s="6" t="s">
        <v>2</v>
      </c>
      <c r="CH3" s="6" t="s">
        <v>36</v>
      </c>
      <c r="CI3" s="6" t="s">
        <v>3</v>
      </c>
      <c r="CJ3" s="6" t="s">
        <v>36</v>
      </c>
      <c r="CK3" s="6" t="s">
        <v>5</v>
      </c>
      <c r="CM3" s="6" t="s">
        <v>4</v>
      </c>
      <c r="CN3" s="6" t="s">
        <v>2</v>
      </c>
      <c r="CO3" s="6" t="s">
        <v>36</v>
      </c>
      <c r="CP3" s="6" t="s">
        <v>3</v>
      </c>
      <c r="CQ3" s="6" t="s">
        <v>36</v>
      </c>
      <c r="CR3" s="6" t="s">
        <v>5</v>
      </c>
    </row>
    <row r="4" spans="2:96" x14ac:dyDescent="0.3">
      <c r="B4" t="s">
        <v>19</v>
      </c>
      <c r="C4" t="s">
        <v>54</v>
      </c>
      <c r="D4" s="19">
        <v>44618</v>
      </c>
      <c r="E4" s="9">
        <v>6</v>
      </c>
      <c r="G4" s="10">
        <f>+SUM(G5:G13)</f>
        <v>1</v>
      </c>
      <c r="I4" s="12">
        <f>+SUM(I5:I13)</f>
        <v>0</v>
      </c>
      <c r="J4" s="11">
        <f>+SUMPRODUCT(G5:G13,J5:J13)</f>
        <v>0</v>
      </c>
      <c r="K4" s="11">
        <f>+SUMPRODUCT(G5:G13,K5:K13)</f>
        <v>0</v>
      </c>
      <c r="L4" s="9"/>
      <c r="N4" s="12">
        <f>+SUM(N5:N13)</f>
        <v>0</v>
      </c>
      <c r="U4" s="12">
        <f>+SUM(U5:U13)</f>
        <v>0</v>
      </c>
      <c r="AB4" s="12">
        <f>+SUM(AB5:AB13)</f>
        <v>0</v>
      </c>
      <c r="AI4" s="12">
        <f>+SUM(AI5:AI13)</f>
        <v>0</v>
      </c>
      <c r="AP4" s="12">
        <f>+SUM(AP5:AP13)</f>
        <v>0</v>
      </c>
      <c r="AW4" s="12">
        <f>+SUM(AW5:AW13)</f>
        <v>0</v>
      </c>
      <c r="BD4" s="12">
        <f>+SUM(BD5:BD13)</f>
        <v>0</v>
      </c>
      <c r="BK4" s="12">
        <f>+SUM(BK5:BK13)</f>
        <v>0</v>
      </c>
      <c r="BR4" s="12">
        <f>+SUM(BR5:BR13)</f>
        <v>0</v>
      </c>
      <c r="BY4" s="12">
        <f>+SUM(BY5:BY13)</f>
        <v>0</v>
      </c>
      <c r="CF4" s="12">
        <f>+SUM(CF5:CF13)</f>
        <v>0</v>
      </c>
      <c r="CM4" s="12">
        <f>+SUM(CM5:CM13)</f>
        <v>0</v>
      </c>
    </row>
    <row r="5" spans="2:96" outlineLevel="1" x14ac:dyDescent="0.3">
      <c r="B5" t="s">
        <v>20</v>
      </c>
      <c r="C5" t="s">
        <v>54</v>
      </c>
      <c r="E5" s="9"/>
      <c r="F5" t="s">
        <v>71</v>
      </c>
      <c r="G5" s="10">
        <v>0.04</v>
      </c>
      <c r="I5" s="9">
        <f>+SUMIF($N$3:$ZZ$3,I$3,$N5:$ZZ5)</f>
        <v>0</v>
      </c>
      <c r="J5" s="11">
        <f t="shared" ref="J5:K13" si="0">+_xlfn.MAXIFS($N5:$ZF5,$N$3:$ZF$3,J$3)</f>
        <v>0</v>
      </c>
      <c r="K5" s="11">
        <f t="shared" si="0"/>
        <v>0</v>
      </c>
      <c r="L5" s="9"/>
      <c r="O5" s="10"/>
      <c r="P5" s="10">
        <v>0.5</v>
      </c>
      <c r="Q5" s="10"/>
      <c r="R5" s="10">
        <v>0.5</v>
      </c>
      <c r="V5" s="10"/>
      <c r="W5" s="10">
        <v>0.8</v>
      </c>
      <c r="X5" s="10"/>
      <c r="Y5" s="10">
        <v>0.8</v>
      </c>
      <c r="AC5" s="10"/>
      <c r="AD5" s="10">
        <v>0.8</v>
      </c>
      <c r="AE5" s="10"/>
      <c r="AF5" s="10">
        <v>0.8</v>
      </c>
      <c r="AJ5" s="10"/>
      <c r="AK5" s="10"/>
      <c r="AL5" s="10"/>
      <c r="AM5" s="10"/>
      <c r="AQ5" s="10"/>
      <c r="AR5" s="10"/>
      <c r="AS5" s="10"/>
      <c r="AT5" s="10"/>
      <c r="AX5" s="10"/>
      <c r="AY5" s="10"/>
      <c r="AZ5" s="10"/>
      <c r="BA5" s="10"/>
      <c r="BE5" s="10"/>
      <c r="BF5" s="10"/>
      <c r="BG5" s="10"/>
      <c r="BH5" s="10"/>
      <c r="BL5" s="10"/>
      <c r="BM5" s="10"/>
      <c r="BN5" s="10"/>
      <c r="BO5" s="10"/>
      <c r="BS5" s="10"/>
      <c r="BT5" s="10"/>
      <c r="BU5" s="10"/>
      <c r="BV5" s="10"/>
      <c r="BZ5" s="10"/>
      <c r="CA5" s="10"/>
      <c r="CB5" s="10"/>
      <c r="CC5" s="10"/>
      <c r="CG5" s="10"/>
      <c r="CH5" s="10"/>
      <c r="CI5" s="10"/>
      <c r="CJ5" s="10"/>
      <c r="CN5" s="10"/>
      <c r="CO5" s="10">
        <v>1</v>
      </c>
      <c r="CP5" s="10"/>
      <c r="CQ5" s="10">
        <v>1</v>
      </c>
    </row>
    <row r="6" spans="2:96" outlineLevel="1" x14ac:dyDescent="0.3">
      <c r="B6" t="s">
        <v>20</v>
      </c>
      <c r="C6" t="s">
        <v>54</v>
      </c>
      <c r="E6" s="9"/>
      <c r="F6" t="s">
        <v>72</v>
      </c>
      <c r="G6" s="10">
        <v>0.12</v>
      </c>
      <c r="I6" s="9">
        <f t="shared" ref="I6:I13" si="1">+SUMIF($N$3:$ZZ$3,I$3,$N6:$ZZ6)</f>
        <v>0</v>
      </c>
      <c r="J6" s="11">
        <f t="shared" si="0"/>
        <v>0</v>
      </c>
      <c r="K6" s="11">
        <f t="shared" si="0"/>
        <v>0</v>
      </c>
      <c r="L6" s="9"/>
      <c r="O6" s="10"/>
      <c r="P6" s="10">
        <v>0.5</v>
      </c>
      <c r="Q6" s="10"/>
      <c r="R6" s="10">
        <v>0.5</v>
      </c>
      <c r="V6" s="10"/>
      <c r="W6" s="10">
        <v>0.5</v>
      </c>
      <c r="X6" s="10"/>
      <c r="Y6" s="10">
        <v>0.5</v>
      </c>
      <c r="AC6" s="10"/>
      <c r="AD6" s="10">
        <v>0.8</v>
      </c>
      <c r="AE6" s="10"/>
      <c r="AF6" s="10">
        <v>0.8</v>
      </c>
      <c r="AJ6" s="10"/>
      <c r="AK6" s="10"/>
      <c r="AL6" s="10"/>
      <c r="AM6" s="10"/>
      <c r="AQ6" s="10"/>
      <c r="AR6" s="10"/>
      <c r="AS6" s="10"/>
      <c r="AT6" s="10"/>
      <c r="AX6" s="10"/>
      <c r="AY6" s="10"/>
      <c r="AZ6" s="10"/>
      <c r="BA6" s="10"/>
      <c r="BE6" s="10"/>
      <c r="BF6" s="10"/>
      <c r="BG6" s="10"/>
      <c r="BH6" s="10"/>
      <c r="BL6" s="10"/>
      <c r="BM6" s="10"/>
      <c r="BN6" s="10"/>
      <c r="BO6" s="10"/>
      <c r="BS6" s="10"/>
      <c r="BT6" s="10"/>
      <c r="BU6" s="10"/>
      <c r="BV6" s="10"/>
      <c r="BZ6" s="10"/>
      <c r="CA6" s="10"/>
      <c r="CB6" s="10"/>
      <c r="CC6" s="10"/>
      <c r="CG6" s="10"/>
      <c r="CH6" s="10"/>
      <c r="CI6" s="10"/>
      <c r="CJ6" s="10"/>
      <c r="CN6" s="10"/>
      <c r="CO6" s="10">
        <v>1</v>
      </c>
      <c r="CP6" s="10"/>
      <c r="CQ6" s="10">
        <v>1</v>
      </c>
    </row>
    <row r="7" spans="2:96" outlineLevel="1" x14ac:dyDescent="0.3">
      <c r="B7" t="s">
        <v>20</v>
      </c>
      <c r="C7" t="s">
        <v>54</v>
      </c>
      <c r="E7" s="9"/>
      <c r="F7" t="s">
        <v>73</v>
      </c>
      <c r="G7" s="10">
        <v>0.12</v>
      </c>
      <c r="I7" s="9">
        <f t="shared" si="1"/>
        <v>0</v>
      </c>
      <c r="J7" s="11">
        <f t="shared" si="0"/>
        <v>0</v>
      </c>
      <c r="K7" s="11">
        <f t="shared" si="0"/>
        <v>0</v>
      </c>
      <c r="L7" s="9"/>
      <c r="O7" s="10"/>
      <c r="P7" s="10">
        <v>0.5</v>
      </c>
      <c r="Q7" s="10"/>
      <c r="R7" s="10">
        <v>0.5</v>
      </c>
      <c r="V7" s="10"/>
      <c r="W7" s="10">
        <v>0.5</v>
      </c>
      <c r="X7" s="10"/>
      <c r="Y7" s="10">
        <v>0.5</v>
      </c>
      <c r="AC7" s="10"/>
      <c r="AD7" s="10">
        <v>0.5</v>
      </c>
      <c r="AE7" s="10"/>
      <c r="AF7" s="10">
        <v>0.5</v>
      </c>
      <c r="AJ7" s="10"/>
      <c r="AK7" s="10"/>
      <c r="AL7" s="10"/>
      <c r="AM7" s="10"/>
      <c r="AQ7" s="10"/>
      <c r="AR7" s="10"/>
      <c r="AS7" s="10"/>
      <c r="AT7" s="10"/>
      <c r="AX7" s="10"/>
      <c r="AY7" s="10"/>
      <c r="AZ7" s="10"/>
      <c r="BA7" s="10"/>
      <c r="BE7" s="10"/>
      <c r="BF7" s="10"/>
      <c r="BG7" s="10"/>
      <c r="BH7" s="10"/>
      <c r="BL7" s="10"/>
      <c r="BM7" s="10"/>
      <c r="BN7" s="10"/>
      <c r="BO7" s="10"/>
      <c r="BS7" s="10"/>
      <c r="BT7" s="10"/>
      <c r="BU7" s="10"/>
      <c r="BV7" s="10"/>
      <c r="BZ7" s="10"/>
      <c r="CA7" s="10"/>
      <c r="CB7" s="10"/>
      <c r="CC7" s="10"/>
      <c r="CG7" s="10"/>
      <c r="CH7" s="10"/>
      <c r="CI7" s="10"/>
      <c r="CJ7" s="10"/>
      <c r="CN7" s="10"/>
      <c r="CO7" s="10">
        <v>1</v>
      </c>
      <c r="CP7" s="10"/>
      <c r="CQ7" s="10">
        <v>1</v>
      </c>
    </row>
    <row r="8" spans="2:96" outlineLevel="1" x14ac:dyDescent="0.3">
      <c r="B8" t="s">
        <v>20</v>
      </c>
      <c r="C8" t="s">
        <v>54</v>
      </c>
      <c r="E8" s="9"/>
      <c r="F8" t="s">
        <v>74</v>
      </c>
      <c r="G8" s="10">
        <v>0.12</v>
      </c>
      <c r="I8" s="9">
        <f t="shared" si="1"/>
        <v>0</v>
      </c>
      <c r="J8" s="11">
        <f t="shared" si="0"/>
        <v>0</v>
      </c>
      <c r="K8" s="11">
        <f t="shared" si="0"/>
        <v>0</v>
      </c>
      <c r="L8" s="9"/>
      <c r="O8" s="10"/>
      <c r="P8" s="10"/>
      <c r="Q8" s="10"/>
      <c r="R8" s="10"/>
      <c r="V8" s="10"/>
      <c r="W8" s="10">
        <v>0.5</v>
      </c>
      <c r="X8" s="10"/>
      <c r="Y8" s="10">
        <v>0.5</v>
      </c>
      <c r="AC8" s="10"/>
      <c r="AD8" s="10">
        <v>0.5</v>
      </c>
      <c r="AE8" s="10"/>
      <c r="AF8" s="10">
        <v>0.5</v>
      </c>
      <c r="AJ8" s="10"/>
      <c r="AK8" s="10"/>
      <c r="AL8" s="10"/>
      <c r="AM8" s="10"/>
      <c r="AQ8" s="10"/>
      <c r="AR8" s="10"/>
      <c r="AS8" s="10"/>
      <c r="AT8" s="10"/>
      <c r="AX8" s="10"/>
      <c r="AY8" s="10"/>
      <c r="AZ8" s="10"/>
      <c r="BA8" s="10"/>
      <c r="BE8" s="10"/>
      <c r="BF8" s="10"/>
      <c r="BG8" s="10"/>
      <c r="BH8" s="10"/>
      <c r="BL8" s="10"/>
      <c r="BM8" s="10"/>
      <c r="BN8" s="10"/>
      <c r="BO8" s="10"/>
      <c r="BS8" s="10"/>
      <c r="BT8" s="10"/>
      <c r="BU8" s="10"/>
      <c r="BV8" s="10"/>
      <c r="BZ8" s="10"/>
      <c r="CA8" s="10"/>
      <c r="CB8" s="10"/>
      <c r="CC8" s="10"/>
      <c r="CG8" s="10"/>
      <c r="CH8" s="10"/>
      <c r="CI8" s="10"/>
      <c r="CJ8" s="10"/>
      <c r="CN8" s="10"/>
      <c r="CO8" s="10">
        <v>1</v>
      </c>
      <c r="CP8" s="10"/>
      <c r="CQ8" s="10">
        <v>1</v>
      </c>
    </row>
    <row r="9" spans="2:96" outlineLevel="1" x14ac:dyDescent="0.3">
      <c r="B9" t="s">
        <v>20</v>
      </c>
      <c r="C9" t="s">
        <v>54</v>
      </c>
      <c r="E9" s="9"/>
      <c r="F9" t="s">
        <v>75</v>
      </c>
      <c r="G9" s="10">
        <v>0.12</v>
      </c>
      <c r="I9" s="9">
        <f t="shared" si="1"/>
        <v>0</v>
      </c>
      <c r="J9" s="11">
        <f t="shared" si="0"/>
        <v>0</v>
      </c>
      <c r="K9" s="11">
        <f t="shared" si="0"/>
        <v>0</v>
      </c>
      <c r="L9" s="9"/>
      <c r="O9" s="10"/>
      <c r="P9" s="10"/>
      <c r="Q9" s="10"/>
      <c r="R9" s="10"/>
      <c r="V9" s="10"/>
      <c r="W9" s="10">
        <v>0.5</v>
      </c>
      <c r="X9" s="10"/>
      <c r="Y9" s="10">
        <v>0.5</v>
      </c>
      <c r="AC9" s="10"/>
      <c r="AD9" s="10">
        <v>0.5</v>
      </c>
      <c r="AE9" s="10"/>
      <c r="AF9" s="10">
        <v>0.5</v>
      </c>
      <c r="AJ9" s="10"/>
      <c r="AK9" s="10"/>
      <c r="AL9" s="10"/>
      <c r="AM9" s="10"/>
      <c r="AQ9" s="10"/>
      <c r="AR9" s="10"/>
      <c r="AS9" s="10"/>
      <c r="AT9" s="10"/>
      <c r="AX9" s="10"/>
      <c r="AY9" s="10"/>
      <c r="AZ9" s="10"/>
      <c r="BA9" s="10"/>
      <c r="BE9" s="10"/>
      <c r="BF9" s="10"/>
      <c r="BG9" s="10"/>
      <c r="BH9" s="10"/>
      <c r="BL9" s="10"/>
      <c r="BM9" s="10"/>
      <c r="BN9" s="10"/>
      <c r="BO9" s="10"/>
      <c r="BS9" s="10"/>
      <c r="BT9" s="10"/>
      <c r="BU9" s="10"/>
      <c r="BV9" s="10"/>
      <c r="BZ9" s="10"/>
      <c r="CA9" s="10"/>
      <c r="CB9" s="10"/>
      <c r="CC9" s="10"/>
      <c r="CG9" s="10"/>
      <c r="CH9" s="10"/>
      <c r="CI9" s="10"/>
      <c r="CJ9" s="10"/>
      <c r="CN9" s="10"/>
      <c r="CO9" s="10">
        <v>1</v>
      </c>
      <c r="CP9" s="10"/>
      <c r="CQ9" s="10">
        <v>1</v>
      </c>
    </row>
    <row r="10" spans="2:96" outlineLevel="1" x14ac:dyDescent="0.3">
      <c r="B10" t="s">
        <v>20</v>
      </c>
      <c r="C10" t="s">
        <v>54</v>
      </c>
      <c r="E10" s="9"/>
      <c r="F10" t="s">
        <v>77</v>
      </c>
      <c r="G10" s="10">
        <v>0.12</v>
      </c>
      <c r="I10" s="9">
        <f t="shared" si="1"/>
        <v>0</v>
      </c>
      <c r="J10" s="11">
        <f t="shared" si="0"/>
        <v>0</v>
      </c>
      <c r="K10" s="11">
        <f t="shared" si="0"/>
        <v>0</v>
      </c>
      <c r="L10" s="9"/>
      <c r="O10" s="10"/>
      <c r="P10" s="10"/>
      <c r="Q10" s="10"/>
      <c r="R10" s="10"/>
      <c r="V10" s="10"/>
      <c r="W10" s="10"/>
      <c r="X10" s="10"/>
      <c r="Y10" s="10"/>
      <c r="AC10" s="10"/>
      <c r="AD10" s="10">
        <v>0.5</v>
      </c>
      <c r="AE10" s="10"/>
      <c r="AF10" s="10">
        <v>0.5</v>
      </c>
      <c r="AJ10" s="10"/>
      <c r="AK10" s="10"/>
      <c r="AL10" s="10"/>
      <c r="AM10" s="10"/>
      <c r="AQ10" s="10"/>
      <c r="AR10" s="10"/>
      <c r="AS10" s="10"/>
      <c r="AT10" s="10"/>
      <c r="AX10" s="10"/>
      <c r="AY10" s="10"/>
      <c r="AZ10" s="10"/>
      <c r="BA10" s="10"/>
      <c r="BE10" s="10"/>
      <c r="BF10" s="10"/>
      <c r="BG10" s="10"/>
      <c r="BH10" s="10"/>
      <c r="BL10" s="10"/>
      <c r="BM10" s="10"/>
      <c r="BN10" s="10"/>
      <c r="BO10" s="10"/>
      <c r="BS10" s="10"/>
      <c r="BT10" s="10"/>
      <c r="BU10" s="10"/>
      <c r="BV10" s="10"/>
      <c r="BZ10" s="10"/>
      <c r="CA10" s="10"/>
      <c r="CB10" s="10"/>
      <c r="CC10" s="10"/>
      <c r="CG10" s="10"/>
      <c r="CH10" s="10"/>
      <c r="CI10" s="10"/>
      <c r="CJ10" s="10"/>
      <c r="CN10" s="10"/>
      <c r="CO10" s="10">
        <v>1</v>
      </c>
      <c r="CP10" s="10"/>
      <c r="CQ10" s="10">
        <v>1</v>
      </c>
    </row>
    <row r="11" spans="2:96" outlineLevel="1" x14ac:dyDescent="0.3">
      <c r="B11" t="s">
        <v>20</v>
      </c>
      <c r="C11" t="s">
        <v>54</v>
      </c>
      <c r="E11" s="9"/>
      <c r="F11" t="s">
        <v>76</v>
      </c>
      <c r="G11" s="10">
        <v>0.12</v>
      </c>
      <c r="I11" s="9">
        <f t="shared" si="1"/>
        <v>0</v>
      </c>
      <c r="J11" s="11">
        <f t="shared" si="0"/>
        <v>0</v>
      </c>
      <c r="K11" s="11">
        <f t="shared" si="0"/>
        <v>0</v>
      </c>
      <c r="L11" s="9"/>
      <c r="O11" s="10"/>
      <c r="P11" s="10"/>
      <c r="Q11" s="10"/>
      <c r="R11" s="10"/>
      <c r="V11" s="10"/>
      <c r="W11" s="10"/>
      <c r="X11" s="10"/>
      <c r="Y11" s="10"/>
      <c r="AC11" s="10"/>
      <c r="AD11" s="10">
        <v>0.5</v>
      </c>
      <c r="AE11" s="10"/>
      <c r="AF11" s="10">
        <v>0.5</v>
      </c>
      <c r="AJ11" s="10"/>
      <c r="AK11" s="10"/>
      <c r="AL11" s="10"/>
      <c r="AM11" s="10"/>
      <c r="AQ11" s="10"/>
      <c r="AR11" s="10"/>
      <c r="AS11" s="10"/>
      <c r="AT11" s="10"/>
      <c r="AX11" s="10"/>
      <c r="AY11" s="10"/>
      <c r="AZ11" s="10"/>
      <c r="BA11" s="10"/>
      <c r="BE11" s="10"/>
      <c r="BF11" s="10"/>
      <c r="BG11" s="10"/>
      <c r="BH11" s="10"/>
      <c r="BL11" s="10"/>
      <c r="BM11" s="10"/>
      <c r="BN11" s="10"/>
      <c r="BO11" s="10"/>
      <c r="BS11" s="10"/>
      <c r="BT11" s="10"/>
      <c r="BU11" s="10"/>
      <c r="BV11" s="10"/>
      <c r="BZ11" s="10"/>
      <c r="CA11" s="10"/>
      <c r="CB11" s="10"/>
      <c r="CC11" s="10"/>
      <c r="CG11" s="10"/>
      <c r="CH11" s="10"/>
      <c r="CI11" s="10"/>
      <c r="CJ11" s="10"/>
      <c r="CN11" s="10"/>
      <c r="CO11" s="10">
        <v>1</v>
      </c>
      <c r="CP11" s="10"/>
      <c r="CQ11" s="10">
        <v>1</v>
      </c>
    </row>
    <row r="12" spans="2:96" outlineLevel="1" x14ac:dyDescent="0.3">
      <c r="B12" t="s">
        <v>20</v>
      </c>
      <c r="C12" t="s">
        <v>54</v>
      </c>
      <c r="E12" s="9"/>
      <c r="F12" t="s">
        <v>78</v>
      </c>
      <c r="G12" s="10">
        <v>0.12</v>
      </c>
      <c r="I12" s="9">
        <f t="shared" si="1"/>
        <v>0</v>
      </c>
      <c r="J12" s="11">
        <f t="shared" si="0"/>
        <v>0</v>
      </c>
      <c r="K12" s="11">
        <f t="shared" si="0"/>
        <v>0</v>
      </c>
      <c r="L12" s="9"/>
      <c r="O12" s="10"/>
      <c r="P12" s="10"/>
      <c r="Q12" s="10"/>
      <c r="R12" s="10"/>
      <c r="V12" s="10"/>
      <c r="W12" s="10"/>
      <c r="X12" s="10"/>
      <c r="Y12" s="10"/>
      <c r="AC12" s="10"/>
      <c r="AD12" s="10"/>
      <c r="AE12" s="10"/>
      <c r="AF12" s="10"/>
      <c r="AJ12" s="10"/>
      <c r="AK12" s="10"/>
      <c r="AL12" s="10"/>
      <c r="AM12" s="10"/>
      <c r="AQ12" s="10"/>
      <c r="AR12" s="10"/>
      <c r="AS12" s="10"/>
      <c r="AT12" s="10"/>
      <c r="AX12" s="10"/>
      <c r="AY12" s="10"/>
      <c r="AZ12" s="10"/>
      <c r="BA12" s="10"/>
      <c r="BE12" s="10"/>
      <c r="BF12" s="10"/>
      <c r="BG12" s="10"/>
      <c r="BH12" s="10"/>
      <c r="BL12" s="10"/>
      <c r="BM12" s="10"/>
      <c r="BN12" s="10"/>
      <c r="BO12" s="10"/>
      <c r="BS12" s="10"/>
      <c r="BT12" s="10"/>
      <c r="BU12" s="10"/>
      <c r="BV12" s="10"/>
      <c r="BZ12" s="10"/>
      <c r="CA12" s="10"/>
      <c r="CB12" s="10"/>
      <c r="CC12" s="10"/>
      <c r="CG12" s="10"/>
      <c r="CH12" s="10"/>
      <c r="CI12" s="10"/>
      <c r="CJ12" s="10"/>
      <c r="CN12" s="10"/>
      <c r="CO12" s="10">
        <v>1</v>
      </c>
      <c r="CP12" s="10"/>
      <c r="CQ12" s="10">
        <v>1</v>
      </c>
    </row>
    <row r="13" spans="2:96" outlineLevel="1" x14ac:dyDescent="0.3">
      <c r="B13" t="s">
        <v>20</v>
      </c>
      <c r="C13" t="s">
        <v>54</v>
      </c>
      <c r="E13" s="9"/>
      <c r="F13" t="s">
        <v>79</v>
      </c>
      <c r="G13" s="10">
        <v>0.12</v>
      </c>
      <c r="I13" s="9">
        <f t="shared" si="1"/>
        <v>0</v>
      </c>
      <c r="J13" s="11">
        <f t="shared" si="0"/>
        <v>0</v>
      </c>
      <c r="K13" s="11">
        <f t="shared" si="0"/>
        <v>0</v>
      </c>
      <c r="L13" s="9"/>
      <c r="O13" s="10"/>
      <c r="P13" s="10"/>
      <c r="Q13" s="10"/>
      <c r="R13" s="10"/>
      <c r="V13" s="10"/>
      <c r="W13" s="10"/>
      <c r="X13" s="10"/>
      <c r="Y13" s="10"/>
      <c r="AC13" s="10"/>
      <c r="AD13" s="10"/>
      <c r="AE13" s="10"/>
      <c r="AF13" s="10"/>
      <c r="AJ13" s="10"/>
      <c r="AK13" s="10"/>
      <c r="AL13" s="10"/>
      <c r="AM13" s="10"/>
      <c r="AQ13" s="10"/>
      <c r="AR13" s="10"/>
      <c r="AS13" s="10"/>
      <c r="AT13" s="10"/>
      <c r="AX13" s="10"/>
      <c r="AY13" s="10"/>
      <c r="AZ13" s="10"/>
      <c r="BA13" s="10"/>
      <c r="BE13" s="10"/>
      <c r="BF13" s="10"/>
      <c r="BG13" s="10"/>
      <c r="BH13" s="10"/>
      <c r="BL13" s="10"/>
      <c r="BM13" s="10"/>
      <c r="BN13" s="10"/>
      <c r="BO13" s="10"/>
      <c r="BS13" s="10"/>
      <c r="BT13" s="10"/>
      <c r="BU13" s="10"/>
      <c r="BV13" s="10"/>
      <c r="BZ13" s="10"/>
      <c r="CA13" s="10"/>
      <c r="CB13" s="10"/>
      <c r="CC13" s="10"/>
      <c r="CG13" s="10"/>
      <c r="CH13" s="10"/>
      <c r="CI13" s="10"/>
      <c r="CJ13" s="10"/>
      <c r="CN13" s="10"/>
      <c r="CO13" s="10">
        <v>1</v>
      </c>
      <c r="CP13" s="10"/>
      <c r="CQ13" s="10">
        <v>1</v>
      </c>
    </row>
    <row r="14" spans="2:96" x14ac:dyDescent="0.3">
      <c r="O14" s="8"/>
      <c r="V14" s="8"/>
      <c r="AC14" s="8"/>
      <c r="AJ14" s="8"/>
      <c r="AQ14" s="8"/>
      <c r="AX14" s="8"/>
      <c r="BE14" s="8"/>
      <c r="BL14" s="8"/>
      <c r="BS14" s="8"/>
      <c r="BZ14" s="8"/>
      <c r="CG14" s="8"/>
      <c r="CN14" s="8"/>
    </row>
    <row r="15" spans="2:96" x14ac:dyDescent="0.3">
      <c r="B15" t="s">
        <v>19</v>
      </c>
      <c r="C15" t="s">
        <v>53</v>
      </c>
      <c r="D15" s="19">
        <v>44611</v>
      </c>
      <c r="E15" s="9">
        <v>8</v>
      </c>
      <c r="G15" s="10">
        <f>+SUM(G16:G27)</f>
        <v>1</v>
      </c>
      <c r="I15" s="12">
        <f>+SUM(I16:I27)</f>
        <v>0</v>
      </c>
      <c r="J15" s="11">
        <f>+SUMPRODUCT(G16:G27,J16:J27)</f>
        <v>0</v>
      </c>
      <c r="K15" s="11">
        <f>+SUMPRODUCT(G16:G27,K16:K27)</f>
        <v>0</v>
      </c>
      <c r="L15" s="9"/>
      <c r="N15" s="12">
        <f>+SUM(N16:N27)</f>
        <v>0</v>
      </c>
      <c r="U15" s="12">
        <f>+SUM(U16:U27)</f>
        <v>0</v>
      </c>
      <c r="AB15" s="12">
        <f>+SUM(AB16:AB27)</f>
        <v>0</v>
      </c>
      <c r="AI15" s="12">
        <f>+SUM(AI16:AI27)</f>
        <v>0</v>
      </c>
      <c r="AP15" s="12">
        <f>+SUM(AP16:AP27)</f>
        <v>0</v>
      </c>
      <c r="AW15" s="12">
        <f>+SUM(AW16:AW27)</f>
        <v>0</v>
      </c>
      <c r="BD15" s="12">
        <f>+SUM(BD16:BD27)</f>
        <v>0</v>
      </c>
      <c r="BK15" s="12">
        <f>+SUM(BK16:BK27)</f>
        <v>0</v>
      </c>
      <c r="BR15" s="12">
        <f>+SUM(BR16:BR27)</f>
        <v>0</v>
      </c>
      <c r="BY15" s="12">
        <f>+SUM(BY16:BY27)</f>
        <v>0</v>
      </c>
      <c r="CF15" s="12">
        <f>+SUM(CF16:CF27)</f>
        <v>0</v>
      </c>
      <c r="CM15" s="12">
        <f>+SUM(CM16:CM27)</f>
        <v>0</v>
      </c>
    </row>
    <row r="16" spans="2:96" outlineLevel="1" x14ac:dyDescent="0.3">
      <c r="B16" t="s">
        <v>20</v>
      </c>
      <c r="C16" t="s">
        <v>53</v>
      </c>
      <c r="E16" s="9"/>
      <c r="F16" t="s">
        <v>64</v>
      </c>
      <c r="G16" s="10">
        <v>0.03</v>
      </c>
      <c r="I16" s="9">
        <f>+SUMIF($N$3:$ZZ$3,I$3,$N16:$ZZ16)</f>
        <v>0</v>
      </c>
      <c r="J16" s="11">
        <f t="shared" ref="J16:K27" si="2">+_xlfn.MAXIFS($N16:$ZF16,$N$3:$ZF$3,J$3)</f>
        <v>0</v>
      </c>
      <c r="K16" s="11">
        <f t="shared" si="2"/>
        <v>0</v>
      </c>
      <c r="L16" s="9"/>
      <c r="O16" s="10"/>
      <c r="P16" s="10">
        <v>0.5</v>
      </c>
      <c r="Q16" s="10"/>
      <c r="R16" s="10">
        <v>0.5</v>
      </c>
      <c r="V16" s="10"/>
      <c r="W16" s="10">
        <v>0.5</v>
      </c>
      <c r="X16" s="10"/>
      <c r="Y16" s="10">
        <v>0.5</v>
      </c>
      <c r="AC16" s="10"/>
      <c r="AD16" s="10">
        <v>0.8</v>
      </c>
      <c r="AE16" s="10"/>
      <c r="AF16" s="10">
        <v>0.8</v>
      </c>
      <c r="AJ16" s="10"/>
      <c r="AK16" s="10">
        <v>0.8</v>
      </c>
      <c r="AL16" s="10"/>
      <c r="AM16" s="10">
        <v>0.8</v>
      </c>
      <c r="AQ16" s="10"/>
      <c r="AR16" s="10">
        <v>0.8</v>
      </c>
      <c r="AS16" s="10"/>
      <c r="AT16" s="10">
        <v>0.8</v>
      </c>
      <c r="AX16" s="10"/>
      <c r="AY16" s="10">
        <v>0.8</v>
      </c>
      <c r="AZ16" s="10"/>
      <c r="BA16" s="10">
        <v>0.8</v>
      </c>
      <c r="BE16" s="10"/>
      <c r="BF16" s="10">
        <v>1</v>
      </c>
      <c r="BG16" s="10"/>
      <c r="BH16" s="10">
        <v>1</v>
      </c>
      <c r="BL16" s="10"/>
      <c r="BM16" s="10"/>
      <c r="BN16" s="10"/>
      <c r="BO16" s="10"/>
      <c r="BS16" s="10"/>
      <c r="BT16" s="10"/>
      <c r="BU16" s="10"/>
      <c r="BV16" s="10"/>
      <c r="BZ16" s="10"/>
      <c r="CA16" s="10"/>
      <c r="CB16" s="10"/>
      <c r="CC16" s="10"/>
      <c r="CG16" s="10"/>
      <c r="CH16" s="10"/>
      <c r="CI16" s="10"/>
      <c r="CJ16" s="10"/>
      <c r="CN16" s="10"/>
      <c r="CO16" s="10">
        <v>1</v>
      </c>
      <c r="CP16" s="10"/>
      <c r="CQ16" s="10">
        <v>1</v>
      </c>
    </row>
    <row r="17" spans="2:95" outlineLevel="1" x14ac:dyDescent="0.3">
      <c r="B17" t="s">
        <v>20</v>
      </c>
      <c r="C17" t="s">
        <v>53</v>
      </c>
      <c r="E17" s="9"/>
      <c r="F17" t="s">
        <v>80</v>
      </c>
      <c r="G17" s="10">
        <v>0.11</v>
      </c>
      <c r="I17" s="9">
        <f t="shared" ref="I17:I26" si="3">+SUMIF($N$3:$ZZ$3,I$3,$N17:$ZZ17)</f>
        <v>0</v>
      </c>
      <c r="J17" s="11">
        <f t="shared" si="2"/>
        <v>0</v>
      </c>
      <c r="K17" s="11">
        <f t="shared" si="2"/>
        <v>0</v>
      </c>
      <c r="L17" s="9"/>
      <c r="O17" s="10"/>
      <c r="P17" s="10">
        <v>0.5</v>
      </c>
      <c r="Q17" s="10"/>
      <c r="R17" s="10">
        <v>0.5</v>
      </c>
      <c r="V17" s="10"/>
      <c r="W17" s="10">
        <v>0.5</v>
      </c>
      <c r="X17" s="10"/>
      <c r="Y17" s="10">
        <v>0.5</v>
      </c>
      <c r="AC17" s="10"/>
      <c r="AD17" s="10">
        <v>0.8</v>
      </c>
      <c r="AE17" s="10"/>
      <c r="AF17" s="10">
        <v>0.8</v>
      </c>
      <c r="AJ17" s="10"/>
      <c r="AK17" s="10">
        <v>0.8</v>
      </c>
      <c r="AL17" s="10"/>
      <c r="AM17" s="10">
        <v>0.8</v>
      </c>
      <c r="AQ17" s="10"/>
      <c r="AR17" s="10">
        <v>0.8</v>
      </c>
      <c r="AS17" s="10"/>
      <c r="AT17" s="10">
        <v>0.8</v>
      </c>
      <c r="AX17" s="10"/>
      <c r="AY17" s="10">
        <v>0.8</v>
      </c>
      <c r="AZ17" s="10"/>
      <c r="BA17" s="10">
        <v>0.8</v>
      </c>
      <c r="BE17" s="10"/>
      <c r="BF17" s="10">
        <v>0.8</v>
      </c>
      <c r="BG17" s="10"/>
      <c r="BH17" s="10">
        <v>0.8</v>
      </c>
      <c r="BL17" s="10"/>
      <c r="BM17" s="10"/>
      <c r="BN17" s="10"/>
      <c r="BO17" s="10"/>
      <c r="BS17" s="10"/>
      <c r="BT17" s="10"/>
      <c r="BU17" s="10"/>
      <c r="BV17" s="10"/>
      <c r="BZ17" s="10"/>
      <c r="CA17" s="10"/>
      <c r="CB17" s="10"/>
      <c r="CC17" s="10"/>
      <c r="CG17" s="10"/>
      <c r="CH17" s="10"/>
      <c r="CI17" s="10"/>
      <c r="CJ17" s="10"/>
      <c r="CN17" s="10"/>
      <c r="CO17" s="10">
        <v>1</v>
      </c>
      <c r="CP17" s="10"/>
      <c r="CQ17" s="10">
        <v>1</v>
      </c>
    </row>
    <row r="18" spans="2:95" outlineLevel="1" x14ac:dyDescent="0.3">
      <c r="B18" t="s">
        <v>20</v>
      </c>
      <c r="C18" t="s">
        <v>53</v>
      </c>
      <c r="E18" s="9"/>
      <c r="F18" t="s">
        <v>81</v>
      </c>
      <c r="G18" s="10">
        <v>0.11</v>
      </c>
      <c r="I18" s="9">
        <f t="shared" si="3"/>
        <v>0</v>
      </c>
      <c r="J18" s="11">
        <f t="shared" si="2"/>
        <v>0</v>
      </c>
      <c r="K18" s="11">
        <f t="shared" si="2"/>
        <v>0</v>
      </c>
      <c r="L18" s="9"/>
      <c r="O18" s="10"/>
      <c r="P18" s="10">
        <v>0.5</v>
      </c>
      <c r="Q18" s="10"/>
      <c r="R18" s="10">
        <v>0.5</v>
      </c>
      <c r="V18" s="10"/>
      <c r="W18" s="10">
        <v>0.5</v>
      </c>
      <c r="X18" s="10"/>
      <c r="Y18" s="10">
        <v>0.5</v>
      </c>
      <c r="AC18" s="10"/>
      <c r="AD18" s="10">
        <v>0.5</v>
      </c>
      <c r="AE18" s="10"/>
      <c r="AF18" s="10">
        <v>0.5</v>
      </c>
      <c r="AJ18" s="10"/>
      <c r="AK18" s="10">
        <v>0.8</v>
      </c>
      <c r="AL18" s="10"/>
      <c r="AM18" s="10">
        <v>0.8</v>
      </c>
      <c r="AQ18" s="10"/>
      <c r="AR18" s="10">
        <v>0.8</v>
      </c>
      <c r="AS18" s="10"/>
      <c r="AT18" s="10">
        <v>0.8</v>
      </c>
      <c r="AX18" s="10"/>
      <c r="AY18" s="10">
        <v>0.8</v>
      </c>
      <c r="AZ18" s="10"/>
      <c r="BA18" s="10">
        <v>0.8</v>
      </c>
      <c r="BE18" s="10"/>
      <c r="BF18" s="10">
        <v>0.8</v>
      </c>
      <c r="BG18" s="10"/>
      <c r="BH18" s="10">
        <v>0.8</v>
      </c>
      <c r="BL18" s="10"/>
      <c r="BM18" s="10"/>
      <c r="BN18" s="10"/>
      <c r="BO18" s="10"/>
      <c r="BS18" s="10"/>
      <c r="BT18" s="10"/>
      <c r="BU18" s="10"/>
      <c r="BV18" s="10"/>
      <c r="BZ18" s="10"/>
      <c r="CA18" s="10"/>
      <c r="CB18" s="10"/>
      <c r="CC18" s="10"/>
      <c r="CG18" s="10"/>
      <c r="CH18" s="10"/>
      <c r="CI18" s="10"/>
      <c r="CJ18" s="10"/>
      <c r="CN18" s="10"/>
      <c r="CO18" s="10">
        <v>1</v>
      </c>
      <c r="CP18" s="10"/>
      <c r="CQ18" s="10">
        <v>1</v>
      </c>
    </row>
    <row r="19" spans="2:95" outlineLevel="1" x14ac:dyDescent="0.3">
      <c r="B19" t="s">
        <v>20</v>
      </c>
      <c r="C19" t="s">
        <v>53</v>
      </c>
      <c r="E19" s="9"/>
      <c r="F19" t="s">
        <v>82</v>
      </c>
      <c r="G19" s="10">
        <v>0.11</v>
      </c>
      <c r="I19" s="9">
        <f t="shared" si="3"/>
        <v>0</v>
      </c>
      <c r="J19" s="11">
        <f t="shared" si="2"/>
        <v>0</v>
      </c>
      <c r="K19" s="11">
        <f t="shared" si="2"/>
        <v>0</v>
      </c>
      <c r="L19" s="9"/>
      <c r="O19" s="10"/>
      <c r="P19" s="10"/>
      <c r="Q19" s="10"/>
      <c r="R19" s="10"/>
      <c r="V19" s="10"/>
      <c r="W19" s="10">
        <v>0.5</v>
      </c>
      <c r="X19" s="10"/>
      <c r="Y19" s="10">
        <v>0.5</v>
      </c>
      <c r="AC19" s="10"/>
      <c r="AD19" s="10">
        <v>0.5</v>
      </c>
      <c r="AE19" s="10"/>
      <c r="AF19" s="10">
        <v>0.5</v>
      </c>
      <c r="AJ19" s="10"/>
      <c r="AK19" s="10">
        <v>0.5</v>
      </c>
      <c r="AL19" s="10"/>
      <c r="AM19" s="10">
        <v>0.5</v>
      </c>
      <c r="AQ19" s="10"/>
      <c r="AR19" s="10">
        <v>0.8</v>
      </c>
      <c r="AS19" s="10"/>
      <c r="AT19" s="10">
        <v>0.8</v>
      </c>
      <c r="AX19" s="10"/>
      <c r="AY19" s="10">
        <v>0.8</v>
      </c>
      <c r="AZ19" s="10"/>
      <c r="BA19" s="10">
        <v>0.8</v>
      </c>
      <c r="BE19" s="10"/>
      <c r="BF19" s="10">
        <v>0.8</v>
      </c>
      <c r="BG19" s="10"/>
      <c r="BH19" s="10">
        <v>0.8</v>
      </c>
      <c r="BL19" s="10"/>
      <c r="BM19" s="10"/>
      <c r="BN19" s="10"/>
      <c r="BO19" s="10"/>
      <c r="BS19" s="10"/>
      <c r="BT19" s="10"/>
      <c r="BU19" s="10"/>
      <c r="BV19" s="10"/>
      <c r="BZ19" s="10"/>
      <c r="CA19" s="10"/>
      <c r="CB19" s="10"/>
      <c r="CC19" s="10"/>
      <c r="CG19" s="10"/>
      <c r="CH19" s="10"/>
      <c r="CI19" s="10"/>
      <c r="CJ19" s="10"/>
      <c r="CN19" s="10"/>
      <c r="CO19" s="10">
        <v>1</v>
      </c>
      <c r="CP19" s="10"/>
      <c r="CQ19" s="10">
        <v>1</v>
      </c>
    </row>
    <row r="20" spans="2:95" outlineLevel="1" x14ac:dyDescent="0.3">
      <c r="B20" t="s">
        <v>20</v>
      </c>
      <c r="C20" t="s">
        <v>53</v>
      </c>
      <c r="E20" s="9"/>
      <c r="F20" t="s">
        <v>83</v>
      </c>
      <c r="G20" s="10">
        <v>0.11</v>
      </c>
      <c r="I20" s="9">
        <f t="shared" si="3"/>
        <v>0</v>
      </c>
      <c r="J20" s="11">
        <f t="shared" si="2"/>
        <v>0</v>
      </c>
      <c r="K20" s="11">
        <f t="shared" si="2"/>
        <v>0</v>
      </c>
      <c r="L20" s="9"/>
      <c r="O20" s="10"/>
      <c r="P20" s="10"/>
      <c r="Q20" s="10"/>
      <c r="R20" s="10"/>
      <c r="V20" s="10"/>
      <c r="W20" s="10">
        <v>0.5</v>
      </c>
      <c r="X20" s="10"/>
      <c r="Y20" s="10">
        <v>0.5</v>
      </c>
      <c r="AC20" s="10"/>
      <c r="AD20" s="10">
        <v>0.5</v>
      </c>
      <c r="AE20" s="10"/>
      <c r="AF20" s="10">
        <v>0.5</v>
      </c>
      <c r="AJ20" s="10"/>
      <c r="AK20" s="10">
        <v>0.5</v>
      </c>
      <c r="AL20" s="10"/>
      <c r="AM20" s="10">
        <v>0.5</v>
      </c>
      <c r="AQ20" s="10"/>
      <c r="AR20" s="10">
        <v>0.8</v>
      </c>
      <c r="AS20" s="10"/>
      <c r="AT20" s="10">
        <v>0.8</v>
      </c>
      <c r="AX20" s="10"/>
      <c r="AY20" s="10">
        <v>0.8</v>
      </c>
      <c r="AZ20" s="10"/>
      <c r="BA20" s="10">
        <v>0.8</v>
      </c>
      <c r="BE20" s="10"/>
      <c r="BF20" s="10">
        <v>0.8</v>
      </c>
      <c r="BG20" s="10"/>
      <c r="BH20" s="10">
        <v>0.8</v>
      </c>
      <c r="BL20" s="10"/>
      <c r="BM20" s="10"/>
      <c r="BN20" s="10"/>
      <c r="BO20" s="10"/>
      <c r="BS20" s="10"/>
      <c r="BT20" s="10"/>
      <c r="BU20" s="10"/>
      <c r="BV20" s="10"/>
      <c r="BZ20" s="10"/>
      <c r="CA20" s="10"/>
      <c r="CB20" s="10"/>
      <c r="CC20" s="10"/>
      <c r="CG20" s="10"/>
      <c r="CH20" s="10"/>
      <c r="CI20" s="10"/>
      <c r="CJ20" s="10"/>
      <c r="CN20" s="10"/>
      <c r="CO20" s="10">
        <v>1</v>
      </c>
      <c r="CP20" s="10"/>
      <c r="CQ20" s="10">
        <v>1</v>
      </c>
    </row>
    <row r="21" spans="2:95" outlineLevel="1" x14ac:dyDescent="0.3">
      <c r="B21" t="s">
        <v>20</v>
      </c>
      <c r="C21" t="s">
        <v>53</v>
      </c>
      <c r="E21" s="9"/>
      <c r="F21" t="s">
        <v>84</v>
      </c>
      <c r="G21" s="10">
        <v>0.11</v>
      </c>
      <c r="I21" s="9">
        <f t="shared" si="3"/>
        <v>0</v>
      </c>
      <c r="J21" s="11">
        <f t="shared" si="2"/>
        <v>0</v>
      </c>
      <c r="K21" s="11">
        <f t="shared" si="2"/>
        <v>0</v>
      </c>
      <c r="L21" s="9"/>
      <c r="O21" s="10"/>
      <c r="P21" s="10"/>
      <c r="Q21" s="10"/>
      <c r="R21" s="10"/>
      <c r="V21" s="10"/>
      <c r="W21" s="10">
        <v>0.5</v>
      </c>
      <c r="X21" s="10"/>
      <c r="Y21" s="10">
        <v>0.5</v>
      </c>
      <c r="AC21" s="10"/>
      <c r="AD21" s="10">
        <v>0.5</v>
      </c>
      <c r="AE21" s="10"/>
      <c r="AF21" s="10">
        <v>0.5</v>
      </c>
      <c r="AJ21" s="10"/>
      <c r="AK21" s="10">
        <v>0.5</v>
      </c>
      <c r="AL21" s="10"/>
      <c r="AM21" s="10">
        <v>0.5</v>
      </c>
      <c r="AQ21" s="10"/>
      <c r="AR21" s="10">
        <v>0.5</v>
      </c>
      <c r="AS21" s="10"/>
      <c r="AT21" s="10">
        <v>0.5</v>
      </c>
      <c r="AX21" s="10"/>
      <c r="AY21" s="10">
        <v>0.8</v>
      </c>
      <c r="AZ21" s="10"/>
      <c r="BA21" s="10">
        <v>0.8</v>
      </c>
      <c r="BE21" s="10"/>
      <c r="BF21" s="10">
        <v>0.8</v>
      </c>
      <c r="BG21" s="10"/>
      <c r="BH21" s="10">
        <v>0.8</v>
      </c>
      <c r="BL21" s="10"/>
      <c r="BM21" s="10"/>
      <c r="BN21" s="10"/>
      <c r="BO21" s="10"/>
      <c r="BS21" s="10"/>
      <c r="BT21" s="10"/>
      <c r="BU21" s="10"/>
      <c r="BV21" s="10"/>
      <c r="BZ21" s="10"/>
      <c r="CA21" s="10"/>
      <c r="CB21" s="10"/>
      <c r="CC21" s="10"/>
      <c r="CG21" s="10"/>
      <c r="CH21" s="10"/>
      <c r="CI21" s="10"/>
      <c r="CJ21" s="10"/>
      <c r="CN21" s="10"/>
      <c r="CO21" s="10">
        <v>1</v>
      </c>
      <c r="CP21" s="10"/>
      <c r="CQ21" s="10">
        <v>1</v>
      </c>
    </row>
    <row r="22" spans="2:95" outlineLevel="1" x14ac:dyDescent="0.3">
      <c r="B22" t="s">
        <v>20</v>
      </c>
      <c r="C22" t="s">
        <v>53</v>
      </c>
      <c r="E22" s="9"/>
      <c r="F22" t="s">
        <v>85</v>
      </c>
      <c r="G22" s="10">
        <v>0.11</v>
      </c>
      <c r="I22" s="9">
        <f t="shared" si="3"/>
        <v>0</v>
      </c>
      <c r="J22" s="11">
        <f t="shared" si="2"/>
        <v>0</v>
      </c>
      <c r="K22" s="11">
        <f t="shared" si="2"/>
        <v>0</v>
      </c>
      <c r="L22" s="9"/>
      <c r="O22" s="10"/>
      <c r="P22" s="10"/>
      <c r="Q22" s="10"/>
      <c r="R22" s="10"/>
      <c r="V22" s="10"/>
      <c r="W22" s="10"/>
      <c r="X22" s="10"/>
      <c r="Y22" s="10"/>
      <c r="AC22" s="10"/>
      <c r="AD22" s="10">
        <v>0.5</v>
      </c>
      <c r="AE22" s="10"/>
      <c r="AF22" s="10">
        <v>0.5</v>
      </c>
      <c r="AJ22" s="10"/>
      <c r="AK22" s="10">
        <v>0.5</v>
      </c>
      <c r="AL22" s="10"/>
      <c r="AM22" s="10">
        <v>0.5</v>
      </c>
      <c r="AQ22" s="10"/>
      <c r="AR22" s="10">
        <v>0.5</v>
      </c>
      <c r="AS22" s="10"/>
      <c r="AT22" s="10">
        <v>0.5</v>
      </c>
      <c r="AX22" s="10"/>
      <c r="AY22" s="10">
        <v>0.5</v>
      </c>
      <c r="AZ22" s="10"/>
      <c r="BA22" s="10">
        <v>0.5</v>
      </c>
      <c r="BE22" s="10"/>
      <c r="BF22" s="10">
        <v>0.8</v>
      </c>
      <c r="BG22" s="10"/>
      <c r="BH22" s="10">
        <v>0.8</v>
      </c>
      <c r="BL22" s="10"/>
      <c r="BM22" s="10"/>
      <c r="BN22" s="10"/>
      <c r="BO22" s="10"/>
      <c r="BS22" s="10"/>
      <c r="BT22" s="10"/>
      <c r="BU22" s="10"/>
      <c r="BV22" s="10"/>
      <c r="BZ22" s="10"/>
      <c r="CA22" s="10"/>
      <c r="CB22" s="10"/>
      <c r="CC22" s="10"/>
      <c r="CG22" s="10"/>
      <c r="CH22" s="10"/>
      <c r="CI22" s="10"/>
      <c r="CJ22" s="10"/>
      <c r="CN22" s="10"/>
      <c r="CO22" s="10">
        <v>1</v>
      </c>
      <c r="CP22" s="10"/>
      <c r="CQ22" s="10">
        <v>1</v>
      </c>
    </row>
    <row r="23" spans="2:95" outlineLevel="1" x14ac:dyDescent="0.3">
      <c r="B23" t="s">
        <v>20</v>
      </c>
      <c r="C23" t="s">
        <v>53</v>
      </c>
      <c r="E23" s="9"/>
      <c r="F23" t="s">
        <v>86</v>
      </c>
      <c r="G23" s="10">
        <v>0.11</v>
      </c>
      <c r="I23" s="9">
        <f t="shared" si="3"/>
        <v>0</v>
      </c>
      <c r="J23" s="11">
        <f t="shared" si="2"/>
        <v>0</v>
      </c>
      <c r="K23" s="11">
        <f t="shared" si="2"/>
        <v>0</v>
      </c>
      <c r="L23" s="9"/>
      <c r="O23" s="10"/>
      <c r="P23" s="10"/>
      <c r="Q23" s="10"/>
      <c r="R23" s="10"/>
      <c r="V23" s="10"/>
      <c r="W23" s="10"/>
      <c r="X23" s="10"/>
      <c r="Y23" s="10"/>
      <c r="AC23" s="10"/>
      <c r="AD23" s="10"/>
      <c r="AE23" s="10"/>
      <c r="AF23" s="10"/>
      <c r="AJ23" s="10"/>
      <c r="AK23" s="10">
        <v>0.5</v>
      </c>
      <c r="AL23" s="10"/>
      <c r="AM23" s="10">
        <v>0.5</v>
      </c>
      <c r="AQ23" s="10"/>
      <c r="AR23" s="10">
        <v>0.5</v>
      </c>
      <c r="AS23" s="10"/>
      <c r="AT23" s="10">
        <v>0.5</v>
      </c>
      <c r="AX23" s="10"/>
      <c r="AY23" s="10">
        <v>0.5</v>
      </c>
      <c r="AZ23" s="10"/>
      <c r="BA23" s="10">
        <v>0.5</v>
      </c>
      <c r="BE23" s="10"/>
      <c r="BF23" s="10">
        <v>0.8</v>
      </c>
      <c r="BG23" s="10"/>
      <c r="BH23" s="10">
        <v>0.8</v>
      </c>
      <c r="BL23" s="10"/>
      <c r="BM23" s="10"/>
      <c r="BN23" s="10"/>
      <c r="BO23" s="10"/>
      <c r="BS23" s="10"/>
      <c r="BT23" s="10"/>
      <c r="BU23" s="10"/>
      <c r="BV23" s="10"/>
      <c r="BZ23" s="10"/>
      <c r="CA23" s="10"/>
      <c r="CB23" s="10"/>
      <c r="CC23" s="10"/>
      <c r="CG23" s="10"/>
      <c r="CH23" s="10"/>
      <c r="CI23" s="10"/>
      <c r="CJ23" s="10"/>
      <c r="CN23" s="10"/>
      <c r="CO23" s="10">
        <v>1</v>
      </c>
      <c r="CP23" s="10"/>
      <c r="CQ23" s="10">
        <v>1</v>
      </c>
    </row>
    <row r="24" spans="2:95" outlineLevel="1" x14ac:dyDescent="0.3">
      <c r="B24" t="s">
        <v>20</v>
      </c>
      <c r="C24" t="s">
        <v>53</v>
      </c>
      <c r="E24" s="9"/>
      <c r="F24" t="s">
        <v>87</v>
      </c>
      <c r="G24" s="10">
        <v>0.11</v>
      </c>
      <c r="I24" s="9">
        <f t="shared" si="3"/>
        <v>0</v>
      </c>
      <c r="J24" s="11">
        <f t="shared" si="2"/>
        <v>0</v>
      </c>
      <c r="K24" s="11">
        <f t="shared" si="2"/>
        <v>0</v>
      </c>
      <c r="L24" s="9"/>
      <c r="O24" s="10"/>
      <c r="P24" s="10"/>
      <c r="Q24" s="10"/>
      <c r="R24" s="10"/>
      <c r="V24" s="10"/>
      <c r="W24" s="10"/>
      <c r="X24" s="10"/>
      <c r="Y24" s="10"/>
      <c r="AC24" s="10"/>
      <c r="AD24" s="10"/>
      <c r="AE24" s="10"/>
      <c r="AF24" s="10"/>
      <c r="AJ24" s="10"/>
      <c r="AK24" s="10">
        <v>0.5</v>
      </c>
      <c r="AL24" s="10"/>
      <c r="AM24" s="10">
        <v>0.5</v>
      </c>
      <c r="AQ24" s="10"/>
      <c r="AR24" s="10">
        <v>0.5</v>
      </c>
      <c r="AS24" s="10"/>
      <c r="AT24" s="10">
        <v>0.5</v>
      </c>
      <c r="AX24" s="10"/>
      <c r="AY24" s="10">
        <v>0.5</v>
      </c>
      <c r="AZ24" s="10"/>
      <c r="BA24" s="10">
        <v>0.5</v>
      </c>
      <c r="BE24" s="10"/>
      <c r="BF24" s="10">
        <v>0.5</v>
      </c>
      <c r="BG24" s="10"/>
      <c r="BH24" s="10">
        <v>0.5</v>
      </c>
      <c r="BL24" s="10"/>
      <c r="BM24" s="10"/>
      <c r="BN24" s="10"/>
      <c r="BO24" s="10"/>
      <c r="BS24" s="10"/>
      <c r="BT24" s="10"/>
      <c r="BU24" s="10"/>
      <c r="BV24" s="10"/>
      <c r="BZ24" s="10"/>
      <c r="CA24" s="10"/>
      <c r="CB24" s="10"/>
      <c r="CC24" s="10"/>
      <c r="CG24" s="10"/>
      <c r="CH24" s="10"/>
      <c r="CI24" s="10"/>
      <c r="CJ24" s="10"/>
      <c r="CN24" s="10"/>
      <c r="CO24" s="10">
        <v>1</v>
      </c>
      <c r="CP24" s="10"/>
      <c r="CQ24" s="10">
        <v>1</v>
      </c>
    </row>
    <row r="25" spans="2:95" outlineLevel="1" x14ac:dyDescent="0.3">
      <c r="B25" t="s">
        <v>20</v>
      </c>
      <c r="C25" t="s">
        <v>53</v>
      </c>
      <c r="E25" s="9"/>
      <c r="F25" t="s">
        <v>88</v>
      </c>
      <c r="G25" s="10">
        <v>0.03</v>
      </c>
      <c r="I25" s="9">
        <f t="shared" si="3"/>
        <v>0</v>
      </c>
      <c r="J25" s="11">
        <f t="shared" si="2"/>
        <v>0</v>
      </c>
      <c r="K25" s="11">
        <f t="shared" si="2"/>
        <v>0</v>
      </c>
      <c r="L25" s="9"/>
      <c r="O25" s="10"/>
      <c r="P25" s="10"/>
      <c r="Q25" s="10"/>
      <c r="R25" s="10"/>
      <c r="V25" s="10"/>
      <c r="W25" s="10"/>
      <c r="X25" s="10"/>
      <c r="Y25" s="10"/>
      <c r="AC25" s="10"/>
      <c r="AD25" s="10"/>
      <c r="AE25" s="10"/>
      <c r="AF25" s="10"/>
      <c r="AJ25" s="10"/>
      <c r="AK25" s="10"/>
      <c r="AL25" s="10"/>
      <c r="AM25" s="10"/>
      <c r="AQ25" s="10"/>
      <c r="AR25" s="10">
        <v>0.5</v>
      </c>
      <c r="AS25" s="10"/>
      <c r="AT25" s="10">
        <v>0.5</v>
      </c>
      <c r="AX25" s="10"/>
      <c r="AY25" s="10">
        <v>0.5</v>
      </c>
      <c r="AZ25" s="10"/>
      <c r="BA25" s="10">
        <v>0.5</v>
      </c>
      <c r="BE25" s="10"/>
      <c r="BF25" s="10">
        <v>0.5</v>
      </c>
      <c r="BG25" s="10"/>
      <c r="BH25" s="10">
        <v>0.5</v>
      </c>
      <c r="BL25" s="10"/>
      <c r="BM25" s="10"/>
      <c r="BN25" s="10"/>
      <c r="BO25" s="10"/>
      <c r="BS25" s="10"/>
      <c r="BT25" s="10"/>
      <c r="BU25" s="10"/>
      <c r="BV25" s="10"/>
      <c r="BZ25" s="10"/>
      <c r="CA25" s="10"/>
      <c r="CB25" s="10"/>
      <c r="CC25" s="10"/>
      <c r="CG25" s="10"/>
      <c r="CH25" s="10"/>
      <c r="CI25" s="10"/>
      <c r="CJ25" s="10"/>
      <c r="CN25" s="10"/>
      <c r="CO25" s="10">
        <v>1</v>
      </c>
      <c r="CP25" s="10"/>
      <c r="CQ25" s="10">
        <v>1</v>
      </c>
    </row>
    <row r="26" spans="2:95" outlineLevel="1" x14ac:dyDescent="0.3">
      <c r="B26" t="s">
        <v>20</v>
      </c>
      <c r="C26" t="s">
        <v>53</v>
      </c>
      <c r="E26" s="9"/>
      <c r="F26" t="s">
        <v>89</v>
      </c>
      <c r="G26" s="10">
        <v>0.03</v>
      </c>
      <c r="I26" s="9">
        <f t="shared" si="3"/>
        <v>0</v>
      </c>
      <c r="J26" s="11">
        <f t="shared" si="2"/>
        <v>0</v>
      </c>
      <c r="K26" s="11">
        <f t="shared" si="2"/>
        <v>0</v>
      </c>
      <c r="L26" s="9"/>
      <c r="O26" s="10"/>
      <c r="P26" s="10"/>
      <c r="Q26" s="10"/>
      <c r="R26" s="10"/>
      <c r="V26" s="10"/>
      <c r="W26" s="10"/>
      <c r="X26" s="10"/>
      <c r="Y26" s="10"/>
      <c r="AC26" s="10"/>
      <c r="AD26" s="10"/>
      <c r="AE26" s="10"/>
      <c r="AF26" s="10"/>
      <c r="AJ26" s="10"/>
      <c r="AK26" s="10"/>
      <c r="AL26" s="10"/>
      <c r="AM26" s="10"/>
      <c r="AQ26" s="10"/>
      <c r="AR26" s="10"/>
      <c r="AS26" s="10"/>
      <c r="AT26" s="10"/>
      <c r="AX26" s="10"/>
      <c r="AY26" s="10">
        <v>0.5</v>
      </c>
      <c r="AZ26" s="10"/>
      <c r="BA26" s="10">
        <v>0.5</v>
      </c>
      <c r="BE26" s="10"/>
      <c r="BF26" s="10">
        <v>0.5</v>
      </c>
      <c r="BG26" s="10"/>
      <c r="BH26" s="10">
        <v>0.5</v>
      </c>
      <c r="BL26" s="10"/>
      <c r="BM26" s="10"/>
      <c r="BN26" s="10"/>
      <c r="BO26" s="10"/>
      <c r="BS26" s="10"/>
      <c r="BT26" s="10"/>
      <c r="BU26" s="10"/>
      <c r="BV26" s="10"/>
      <c r="BZ26" s="10"/>
      <c r="CA26" s="10"/>
      <c r="CB26" s="10"/>
      <c r="CC26" s="10"/>
      <c r="CG26" s="10"/>
      <c r="CH26" s="10"/>
      <c r="CI26" s="10"/>
      <c r="CJ26" s="10"/>
      <c r="CN26" s="10"/>
      <c r="CO26" s="10">
        <v>1</v>
      </c>
      <c r="CP26" s="10"/>
      <c r="CQ26" s="10">
        <v>1</v>
      </c>
    </row>
    <row r="27" spans="2:95" outlineLevel="1" x14ac:dyDescent="0.3">
      <c r="B27" t="s">
        <v>20</v>
      </c>
      <c r="C27" t="s">
        <v>53</v>
      </c>
      <c r="E27" s="9"/>
      <c r="F27" t="s">
        <v>90</v>
      </c>
      <c r="G27" s="10">
        <v>0.03</v>
      </c>
      <c r="I27" s="9">
        <f>+SUMIF($N$3:$ZZ$3,I$3,$N27:$ZZ27)</f>
        <v>0</v>
      </c>
      <c r="J27" s="11">
        <f t="shared" si="2"/>
        <v>0</v>
      </c>
      <c r="K27" s="11">
        <f t="shared" si="2"/>
        <v>0</v>
      </c>
      <c r="L27" s="9"/>
      <c r="O27" s="10"/>
      <c r="P27" s="10"/>
      <c r="Q27" s="10"/>
      <c r="R27" s="10"/>
      <c r="V27" s="10"/>
      <c r="W27" s="10"/>
      <c r="X27" s="10"/>
      <c r="Y27" s="10"/>
      <c r="AC27" s="10"/>
      <c r="AD27" s="10"/>
      <c r="AE27" s="10"/>
      <c r="AF27" s="10"/>
      <c r="AJ27" s="10"/>
      <c r="AK27" s="10"/>
      <c r="AL27" s="10"/>
      <c r="AM27" s="10"/>
      <c r="AQ27" s="10"/>
      <c r="AR27" s="10"/>
      <c r="AS27" s="10"/>
      <c r="AT27" s="10"/>
      <c r="AX27" s="10"/>
      <c r="AY27" s="10">
        <v>0.5</v>
      </c>
      <c r="AZ27" s="10"/>
      <c r="BA27" s="10">
        <v>0.5</v>
      </c>
      <c r="BE27" s="10"/>
      <c r="BF27" s="10">
        <v>0.5</v>
      </c>
      <c r="BG27" s="10"/>
      <c r="BH27" s="10">
        <v>0.5</v>
      </c>
      <c r="BL27" s="10"/>
      <c r="BM27" s="10"/>
      <c r="BN27" s="10"/>
      <c r="BO27" s="10"/>
      <c r="BS27" s="10"/>
      <c r="BT27" s="10"/>
      <c r="BU27" s="10"/>
      <c r="BV27" s="10"/>
      <c r="BZ27" s="10"/>
      <c r="CA27" s="10"/>
      <c r="CB27" s="10"/>
      <c r="CC27" s="10"/>
      <c r="CG27" s="10"/>
      <c r="CH27" s="10"/>
      <c r="CI27" s="10"/>
      <c r="CJ27" s="10"/>
      <c r="CN27" s="10"/>
      <c r="CO27" s="10">
        <v>1</v>
      </c>
      <c r="CP27" s="10"/>
      <c r="CQ27" s="10">
        <v>1</v>
      </c>
    </row>
    <row r="28" spans="2:95" x14ac:dyDescent="0.3">
      <c r="E28" s="9"/>
      <c r="G28" s="10"/>
      <c r="I28" s="12"/>
      <c r="J28" s="11"/>
      <c r="K28" s="11"/>
      <c r="L28" s="9"/>
      <c r="N28" s="12"/>
      <c r="U28" s="12"/>
      <c r="AB28" s="12"/>
      <c r="AI28" s="12"/>
      <c r="AP28" s="12"/>
      <c r="AW28" s="12"/>
      <c r="BD28" s="12"/>
      <c r="BK28" s="12"/>
      <c r="BR28" s="12"/>
      <c r="BY28" s="12"/>
      <c r="CF28" s="12"/>
      <c r="CM28" s="12"/>
    </row>
    <row r="29" spans="2:95" x14ac:dyDescent="0.3">
      <c r="B29" t="s">
        <v>19</v>
      </c>
      <c r="C29" t="s">
        <v>56</v>
      </c>
      <c r="D29" s="19">
        <v>44631</v>
      </c>
      <c r="E29" s="9">
        <v>6</v>
      </c>
      <c r="G29" s="10">
        <f>+SUM(G30:G41)</f>
        <v>0.99999999999999989</v>
      </c>
      <c r="I29" s="12">
        <f>+SUM(I30:I41)</f>
        <v>0</v>
      </c>
      <c r="J29" s="11">
        <f>+SUMPRODUCT(G30:G41,J30:J41)</f>
        <v>0</v>
      </c>
      <c r="K29" s="11">
        <f>+SUMPRODUCT(G30:G41,K30:K41)</f>
        <v>0</v>
      </c>
      <c r="L29" s="9"/>
      <c r="N29" s="12">
        <f>+SUM(N30:N41)</f>
        <v>0</v>
      </c>
      <c r="U29" s="12">
        <f>+SUM(U30:U41)</f>
        <v>0</v>
      </c>
      <c r="AB29" s="12">
        <f>+SUM(AB30:AB41)</f>
        <v>0</v>
      </c>
      <c r="AI29" s="12">
        <f>+SUM(AI30:AI41)</f>
        <v>0</v>
      </c>
      <c r="AP29" s="12">
        <f>+SUM(AP30:AP41)</f>
        <v>0</v>
      </c>
      <c r="AW29" s="12">
        <f>+SUM(AW30:AW41)</f>
        <v>0</v>
      </c>
      <c r="BD29" s="12">
        <f>+SUM(BD30:BD41)</f>
        <v>0</v>
      </c>
      <c r="BK29" s="12">
        <f>+SUM(BK30:BK41)</f>
        <v>0</v>
      </c>
      <c r="BR29" s="12">
        <f>+SUM(BR30:BR41)</f>
        <v>0</v>
      </c>
      <c r="BY29" s="12">
        <f>+SUM(BY30:BY41)</f>
        <v>0</v>
      </c>
      <c r="CF29" s="12">
        <f>+SUM(CF30:CF41)</f>
        <v>0</v>
      </c>
      <c r="CM29" s="12">
        <f>+SUM(CM30:CM41)</f>
        <v>0</v>
      </c>
    </row>
    <row r="30" spans="2:95" outlineLevel="1" x14ac:dyDescent="0.3">
      <c r="B30" t="s">
        <v>20</v>
      </c>
      <c r="C30" t="s">
        <v>56</v>
      </c>
      <c r="E30" s="9"/>
      <c r="F30" t="s">
        <v>22</v>
      </c>
      <c r="G30" s="10">
        <v>0.1</v>
      </c>
      <c r="I30" s="9">
        <f>+SUMIF($N$3:$ZZ$3,I$3,$N30:$ZZ30)</f>
        <v>0</v>
      </c>
      <c r="J30" s="11">
        <f t="shared" ref="J30:K41" si="4">+_xlfn.MAXIFS($N30:$ZF30,$N$3:$ZF$3,J$3)</f>
        <v>0</v>
      </c>
      <c r="K30" s="11">
        <f t="shared" si="4"/>
        <v>0</v>
      </c>
      <c r="L30" s="9"/>
      <c r="O30" s="10"/>
      <c r="P30" s="10"/>
      <c r="Q30" s="10"/>
      <c r="R30" s="10"/>
      <c r="V30" s="10"/>
      <c r="W30" s="10"/>
      <c r="X30" s="10"/>
      <c r="Y30" s="10"/>
      <c r="AC30" s="10"/>
      <c r="AD30" s="10"/>
      <c r="AE30" s="10"/>
      <c r="AF30" s="10"/>
      <c r="AJ30" s="10"/>
      <c r="AK30" s="10"/>
      <c r="AL30" s="10"/>
      <c r="AM30" s="10"/>
      <c r="AQ30" s="10"/>
      <c r="AR30" s="10"/>
      <c r="AS30" s="10"/>
      <c r="AT30" s="10"/>
      <c r="AX30" s="10"/>
      <c r="AY30" s="10"/>
      <c r="AZ30" s="10"/>
      <c r="BA30" s="10"/>
      <c r="BE30" s="10"/>
      <c r="BF30" s="10"/>
      <c r="BG30" s="10"/>
      <c r="BH30" s="10"/>
      <c r="BL30" s="10"/>
      <c r="BM30" s="10"/>
      <c r="BN30" s="10"/>
      <c r="BO30" s="10"/>
      <c r="BS30" s="10"/>
      <c r="BT30" s="10"/>
      <c r="BU30" s="10"/>
      <c r="BV30" s="10"/>
      <c r="BZ30" s="10"/>
      <c r="CA30" s="10"/>
      <c r="CB30" s="10"/>
      <c r="CC30" s="10"/>
      <c r="CG30" s="10"/>
      <c r="CH30" s="10"/>
      <c r="CI30" s="10"/>
      <c r="CJ30" s="10"/>
      <c r="CN30" s="10"/>
      <c r="CO30" s="10">
        <v>1</v>
      </c>
      <c r="CP30" s="10"/>
      <c r="CQ30" s="10">
        <v>1</v>
      </c>
    </row>
    <row r="31" spans="2:95" outlineLevel="1" x14ac:dyDescent="0.3">
      <c r="B31" t="s">
        <v>20</v>
      </c>
      <c r="C31" t="s">
        <v>56</v>
      </c>
      <c r="E31" s="9"/>
      <c r="F31" t="s">
        <v>23</v>
      </c>
      <c r="G31" s="10">
        <v>0.05</v>
      </c>
      <c r="I31" s="9">
        <f t="shared" ref="I31:I40" si="5">+SUMIF($N$3:$ZZ$3,I$3,$N31:$ZZ31)</f>
        <v>0</v>
      </c>
      <c r="J31" s="11">
        <f t="shared" si="4"/>
        <v>0</v>
      </c>
      <c r="K31" s="11">
        <f t="shared" si="4"/>
        <v>0</v>
      </c>
      <c r="L31" s="9"/>
      <c r="O31" s="10"/>
      <c r="P31" s="10"/>
      <c r="Q31" s="10"/>
      <c r="R31" s="10"/>
      <c r="V31" s="10"/>
      <c r="W31" s="10"/>
      <c r="X31" s="10"/>
      <c r="Y31" s="10"/>
      <c r="AC31" s="10"/>
      <c r="AD31" s="10"/>
      <c r="AE31" s="10"/>
      <c r="AF31" s="10"/>
      <c r="AJ31" s="10"/>
      <c r="AK31" s="10"/>
      <c r="AL31" s="10"/>
      <c r="AM31" s="10"/>
      <c r="AQ31" s="10"/>
      <c r="AR31" s="10"/>
      <c r="AS31" s="10"/>
      <c r="AT31" s="10"/>
      <c r="AX31" s="10"/>
      <c r="AY31" s="10"/>
      <c r="AZ31" s="10"/>
      <c r="BA31" s="10"/>
      <c r="BE31" s="10"/>
      <c r="BF31" s="10"/>
      <c r="BG31" s="10"/>
      <c r="BH31" s="10"/>
      <c r="BL31" s="10"/>
      <c r="BM31" s="10"/>
      <c r="BN31" s="10"/>
      <c r="BO31" s="10"/>
      <c r="BS31" s="10"/>
      <c r="BT31" s="10"/>
      <c r="BU31" s="10"/>
      <c r="BV31" s="10"/>
      <c r="BZ31" s="10"/>
      <c r="CA31" s="10"/>
      <c r="CB31" s="10"/>
      <c r="CC31" s="10"/>
      <c r="CG31" s="10"/>
      <c r="CH31" s="10"/>
      <c r="CI31" s="10"/>
      <c r="CJ31" s="10"/>
      <c r="CN31" s="10"/>
      <c r="CO31" s="10">
        <v>1</v>
      </c>
      <c r="CP31" s="10"/>
      <c r="CQ31" s="10">
        <v>1</v>
      </c>
    </row>
    <row r="32" spans="2:95" outlineLevel="1" x14ac:dyDescent="0.3">
      <c r="B32" t="s">
        <v>20</v>
      </c>
      <c r="C32" t="s">
        <v>56</v>
      </c>
      <c r="E32" s="9"/>
      <c r="F32" t="s">
        <v>24</v>
      </c>
      <c r="G32" s="10">
        <v>0.05</v>
      </c>
      <c r="I32" s="9">
        <f t="shared" si="5"/>
        <v>0</v>
      </c>
      <c r="J32" s="11">
        <f t="shared" si="4"/>
        <v>0</v>
      </c>
      <c r="K32" s="11">
        <f t="shared" si="4"/>
        <v>0</v>
      </c>
      <c r="L32" s="9"/>
      <c r="O32" s="10"/>
      <c r="P32" s="10"/>
      <c r="Q32" s="10"/>
      <c r="R32" s="10"/>
      <c r="V32" s="10"/>
      <c r="W32" s="10"/>
      <c r="X32" s="10"/>
      <c r="Y32" s="10"/>
      <c r="AC32" s="10"/>
      <c r="AD32" s="10"/>
      <c r="AE32" s="10"/>
      <c r="AF32" s="10"/>
      <c r="AJ32" s="10"/>
      <c r="AK32" s="10"/>
      <c r="AL32" s="10"/>
      <c r="AM32" s="10"/>
      <c r="AQ32" s="10"/>
      <c r="AR32" s="10"/>
      <c r="AS32" s="10"/>
      <c r="AT32" s="10"/>
      <c r="AX32" s="10"/>
      <c r="AY32" s="10"/>
      <c r="AZ32" s="10"/>
      <c r="BA32" s="10"/>
      <c r="BE32" s="10"/>
      <c r="BF32" s="10"/>
      <c r="BG32" s="10"/>
      <c r="BH32" s="10"/>
      <c r="BL32" s="10"/>
      <c r="BM32" s="10"/>
      <c r="BN32" s="10"/>
      <c r="BO32" s="10"/>
      <c r="BS32" s="10"/>
      <c r="BT32" s="10"/>
      <c r="BU32" s="10"/>
      <c r="BV32" s="10"/>
      <c r="BZ32" s="10"/>
      <c r="CA32" s="10"/>
      <c r="CB32" s="10"/>
      <c r="CC32" s="10"/>
      <c r="CG32" s="10"/>
      <c r="CH32" s="10"/>
      <c r="CI32" s="10"/>
      <c r="CJ32" s="10"/>
      <c r="CN32" s="10"/>
      <c r="CO32" s="10">
        <v>1</v>
      </c>
      <c r="CP32" s="10"/>
      <c r="CQ32" s="10">
        <v>1</v>
      </c>
    </row>
    <row r="33" spans="2:95" outlineLevel="1" x14ac:dyDescent="0.3">
      <c r="B33" t="s">
        <v>20</v>
      </c>
      <c r="C33" t="s">
        <v>56</v>
      </c>
      <c r="E33" s="9"/>
      <c r="F33" t="s">
        <v>25</v>
      </c>
      <c r="G33" s="10">
        <v>0.05</v>
      </c>
      <c r="I33" s="9">
        <f t="shared" si="5"/>
        <v>0</v>
      </c>
      <c r="J33" s="11">
        <f t="shared" si="4"/>
        <v>0</v>
      </c>
      <c r="K33" s="11">
        <f t="shared" si="4"/>
        <v>0</v>
      </c>
      <c r="L33" s="9"/>
      <c r="O33" s="10"/>
      <c r="P33" s="10"/>
      <c r="Q33" s="10"/>
      <c r="R33" s="10"/>
      <c r="V33" s="10"/>
      <c r="W33" s="10"/>
      <c r="X33" s="10"/>
      <c r="Y33" s="10"/>
      <c r="AC33" s="10"/>
      <c r="AD33" s="10"/>
      <c r="AE33" s="10"/>
      <c r="AF33" s="10"/>
      <c r="AJ33" s="10"/>
      <c r="AK33" s="10"/>
      <c r="AL33" s="10"/>
      <c r="AM33" s="10"/>
      <c r="AQ33" s="10"/>
      <c r="AR33" s="10"/>
      <c r="AS33" s="10"/>
      <c r="AT33" s="10"/>
      <c r="AX33" s="10"/>
      <c r="AY33" s="10"/>
      <c r="AZ33" s="10"/>
      <c r="BA33" s="10"/>
      <c r="BE33" s="10"/>
      <c r="BF33" s="10"/>
      <c r="BG33" s="10"/>
      <c r="BH33" s="10"/>
      <c r="BL33" s="10"/>
      <c r="BM33" s="10"/>
      <c r="BN33" s="10"/>
      <c r="BO33" s="10"/>
      <c r="BS33" s="10"/>
      <c r="BT33" s="10"/>
      <c r="BU33" s="10"/>
      <c r="BV33" s="10"/>
      <c r="BZ33" s="10"/>
      <c r="CA33" s="10"/>
      <c r="CB33" s="10"/>
      <c r="CC33" s="10"/>
      <c r="CG33" s="10"/>
      <c r="CH33" s="10"/>
      <c r="CI33" s="10"/>
      <c r="CJ33" s="10"/>
      <c r="CN33" s="10"/>
      <c r="CO33" s="10">
        <v>1</v>
      </c>
      <c r="CP33" s="10"/>
      <c r="CQ33" s="10">
        <v>1</v>
      </c>
    </row>
    <row r="34" spans="2:95" outlineLevel="1" x14ac:dyDescent="0.3">
      <c r="B34" t="s">
        <v>20</v>
      </c>
      <c r="C34" t="s">
        <v>56</v>
      </c>
      <c r="E34" s="9"/>
      <c r="F34" t="s">
        <v>26</v>
      </c>
      <c r="G34" s="10">
        <v>0.05</v>
      </c>
      <c r="I34" s="9">
        <f t="shared" si="5"/>
        <v>0</v>
      </c>
      <c r="J34" s="11">
        <f t="shared" si="4"/>
        <v>0</v>
      </c>
      <c r="K34" s="11">
        <f t="shared" si="4"/>
        <v>0</v>
      </c>
      <c r="L34" s="9"/>
      <c r="O34" s="10"/>
      <c r="P34" s="10"/>
      <c r="Q34" s="10"/>
      <c r="R34" s="10"/>
      <c r="V34" s="10"/>
      <c r="W34" s="10"/>
      <c r="X34" s="10"/>
      <c r="Y34" s="10"/>
      <c r="AC34" s="10"/>
      <c r="AD34" s="10"/>
      <c r="AE34" s="10"/>
      <c r="AF34" s="10"/>
      <c r="AJ34" s="10"/>
      <c r="AK34" s="10"/>
      <c r="AL34" s="10"/>
      <c r="AM34" s="10"/>
      <c r="AQ34" s="10"/>
      <c r="AR34" s="10"/>
      <c r="AS34" s="10"/>
      <c r="AT34" s="10"/>
      <c r="AX34" s="10"/>
      <c r="AY34" s="10"/>
      <c r="AZ34" s="10"/>
      <c r="BA34" s="10"/>
      <c r="BE34" s="10"/>
      <c r="BF34" s="10"/>
      <c r="BG34" s="10"/>
      <c r="BH34" s="10"/>
      <c r="BL34" s="10"/>
      <c r="BM34" s="10"/>
      <c r="BN34" s="10"/>
      <c r="BO34" s="10"/>
      <c r="BS34" s="10"/>
      <c r="BT34" s="10"/>
      <c r="BU34" s="10"/>
      <c r="BV34" s="10"/>
      <c r="BZ34" s="10"/>
      <c r="CA34" s="10"/>
      <c r="CB34" s="10"/>
      <c r="CC34" s="10"/>
      <c r="CG34" s="10"/>
      <c r="CH34" s="10"/>
      <c r="CI34" s="10"/>
      <c r="CJ34" s="10"/>
      <c r="CN34" s="10"/>
      <c r="CO34" s="10">
        <v>1</v>
      </c>
      <c r="CP34" s="10"/>
      <c r="CQ34" s="10">
        <v>1</v>
      </c>
    </row>
    <row r="35" spans="2:95" outlineLevel="1" x14ac:dyDescent="0.3">
      <c r="B35" t="s">
        <v>20</v>
      </c>
      <c r="C35" t="s">
        <v>56</v>
      </c>
      <c r="E35" s="9"/>
      <c r="F35" t="s">
        <v>27</v>
      </c>
      <c r="G35" s="10">
        <v>0.1</v>
      </c>
      <c r="I35" s="9">
        <f t="shared" si="5"/>
        <v>0</v>
      </c>
      <c r="J35" s="11">
        <f t="shared" si="4"/>
        <v>0</v>
      </c>
      <c r="K35" s="11">
        <f t="shared" si="4"/>
        <v>0</v>
      </c>
      <c r="L35" s="9"/>
      <c r="O35" s="10"/>
      <c r="P35" s="10"/>
      <c r="Q35" s="10"/>
      <c r="R35" s="10"/>
      <c r="V35" s="10"/>
      <c r="W35" s="10"/>
      <c r="X35" s="10"/>
      <c r="Y35" s="10"/>
      <c r="AC35" s="10"/>
      <c r="AD35" s="10"/>
      <c r="AE35" s="10"/>
      <c r="AF35" s="10"/>
      <c r="AJ35" s="10"/>
      <c r="AK35" s="10"/>
      <c r="AL35" s="10"/>
      <c r="AM35" s="10"/>
      <c r="AQ35" s="10"/>
      <c r="AR35" s="10"/>
      <c r="AS35" s="10"/>
      <c r="AT35" s="10"/>
      <c r="AX35" s="10"/>
      <c r="AY35" s="10"/>
      <c r="AZ35" s="10"/>
      <c r="BA35" s="10"/>
      <c r="BE35" s="10"/>
      <c r="BF35" s="10"/>
      <c r="BG35" s="10"/>
      <c r="BH35" s="10"/>
      <c r="BL35" s="10"/>
      <c r="BM35" s="10"/>
      <c r="BN35" s="10"/>
      <c r="BO35" s="10"/>
      <c r="BS35" s="10"/>
      <c r="BT35" s="10"/>
      <c r="BU35" s="10"/>
      <c r="BV35" s="10"/>
      <c r="BZ35" s="10"/>
      <c r="CA35" s="10"/>
      <c r="CB35" s="10"/>
      <c r="CC35" s="10"/>
      <c r="CG35" s="10"/>
      <c r="CH35" s="10"/>
      <c r="CI35" s="10"/>
      <c r="CJ35" s="10"/>
      <c r="CN35" s="10"/>
      <c r="CO35" s="10">
        <v>1</v>
      </c>
      <c r="CP35" s="10"/>
      <c r="CQ35" s="10">
        <v>1</v>
      </c>
    </row>
    <row r="36" spans="2:95" outlineLevel="1" x14ac:dyDescent="0.3">
      <c r="B36" t="s">
        <v>20</v>
      </c>
      <c r="C36" t="s">
        <v>56</v>
      </c>
      <c r="E36" s="9"/>
      <c r="F36" t="s">
        <v>28</v>
      </c>
      <c r="G36" s="10">
        <v>0.1</v>
      </c>
      <c r="I36" s="9">
        <f t="shared" si="5"/>
        <v>0</v>
      </c>
      <c r="J36" s="11">
        <f t="shared" si="4"/>
        <v>0</v>
      </c>
      <c r="K36" s="11">
        <f t="shared" si="4"/>
        <v>0</v>
      </c>
      <c r="L36" s="9"/>
      <c r="O36" s="10"/>
      <c r="P36" s="10"/>
      <c r="Q36" s="10"/>
      <c r="R36" s="10"/>
      <c r="V36" s="10"/>
      <c r="W36" s="10"/>
      <c r="X36" s="10"/>
      <c r="Y36" s="10"/>
      <c r="AC36" s="10"/>
      <c r="AD36" s="10"/>
      <c r="AE36" s="10"/>
      <c r="AF36" s="10"/>
      <c r="AJ36" s="10"/>
      <c r="AK36" s="10"/>
      <c r="AL36" s="10"/>
      <c r="AM36" s="10"/>
      <c r="AQ36" s="10"/>
      <c r="AR36" s="10"/>
      <c r="AS36" s="10"/>
      <c r="AT36" s="10"/>
      <c r="AX36" s="10"/>
      <c r="AY36" s="10"/>
      <c r="AZ36" s="10"/>
      <c r="BA36" s="10"/>
      <c r="BE36" s="10"/>
      <c r="BF36" s="10"/>
      <c r="BG36" s="10"/>
      <c r="BH36" s="10"/>
      <c r="BL36" s="10"/>
      <c r="BM36" s="10"/>
      <c r="BN36" s="10"/>
      <c r="BO36" s="10"/>
      <c r="BS36" s="10"/>
      <c r="BT36" s="10"/>
      <c r="BU36" s="10"/>
      <c r="BV36" s="10"/>
      <c r="BZ36" s="10"/>
      <c r="CA36" s="10"/>
      <c r="CB36" s="10"/>
      <c r="CC36" s="10"/>
      <c r="CG36" s="10"/>
      <c r="CH36" s="10"/>
      <c r="CI36" s="10"/>
      <c r="CJ36" s="10"/>
      <c r="CN36" s="10"/>
      <c r="CO36" s="10">
        <v>1</v>
      </c>
      <c r="CP36" s="10"/>
      <c r="CQ36" s="10">
        <v>1</v>
      </c>
    </row>
    <row r="37" spans="2:95" outlineLevel="1" x14ac:dyDescent="0.3">
      <c r="B37" t="s">
        <v>20</v>
      </c>
      <c r="C37" t="s">
        <v>56</v>
      </c>
      <c r="E37" s="9"/>
      <c r="F37" t="s">
        <v>29</v>
      </c>
      <c r="G37" s="10">
        <v>0.1</v>
      </c>
      <c r="I37" s="9">
        <f t="shared" si="5"/>
        <v>0</v>
      </c>
      <c r="J37" s="11">
        <f t="shared" si="4"/>
        <v>0</v>
      </c>
      <c r="K37" s="11">
        <f t="shared" si="4"/>
        <v>0</v>
      </c>
      <c r="L37" s="9"/>
      <c r="O37" s="10"/>
      <c r="P37" s="10"/>
      <c r="Q37" s="10"/>
      <c r="R37" s="10"/>
      <c r="V37" s="10"/>
      <c r="W37" s="10"/>
      <c r="X37" s="10"/>
      <c r="Y37" s="10"/>
      <c r="AC37" s="10"/>
      <c r="AD37" s="10"/>
      <c r="AE37" s="10"/>
      <c r="AF37" s="10"/>
      <c r="AJ37" s="10"/>
      <c r="AK37" s="10"/>
      <c r="AL37" s="10"/>
      <c r="AM37" s="10"/>
      <c r="AQ37" s="10"/>
      <c r="AR37" s="10"/>
      <c r="AS37" s="10"/>
      <c r="AT37" s="10"/>
      <c r="AX37" s="10"/>
      <c r="AY37" s="10"/>
      <c r="AZ37" s="10"/>
      <c r="BA37" s="10"/>
      <c r="BE37" s="10"/>
      <c r="BF37" s="10"/>
      <c r="BG37" s="10"/>
      <c r="BH37" s="10"/>
      <c r="BL37" s="10"/>
      <c r="BM37" s="10"/>
      <c r="BN37" s="10"/>
      <c r="BO37" s="10"/>
      <c r="BS37" s="10"/>
      <c r="BT37" s="10"/>
      <c r="BU37" s="10"/>
      <c r="BV37" s="10"/>
      <c r="BZ37" s="10"/>
      <c r="CA37" s="10"/>
      <c r="CB37" s="10"/>
      <c r="CC37" s="10"/>
      <c r="CG37" s="10"/>
      <c r="CH37" s="10"/>
      <c r="CI37" s="10"/>
      <c r="CJ37" s="10"/>
      <c r="CN37" s="10"/>
      <c r="CO37" s="10">
        <v>1</v>
      </c>
      <c r="CP37" s="10"/>
      <c r="CQ37" s="10">
        <v>1</v>
      </c>
    </row>
    <row r="38" spans="2:95" outlineLevel="1" x14ac:dyDescent="0.3">
      <c r="B38" t="s">
        <v>20</v>
      </c>
      <c r="C38" t="s">
        <v>56</v>
      </c>
      <c r="E38" s="9"/>
      <c r="F38" t="s">
        <v>30</v>
      </c>
      <c r="G38" s="10">
        <v>0.1</v>
      </c>
      <c r="I38" s="9">
        <f t="shared" si="5"/>
        <v>0</v>
      </c>
      <c r="J38" s="11">
        <f t="shared" si="4"/>
        <v>0</v>
      </c>
      <c r="K38" s="11">
        <f t="shared" si="4"/>
        <v>0</v>
      </c>
      <c r="L38" s="9"/>
      <c r="O38" s="10"/>
      <c r="P38" s="10"/>
      <c r="Q38" s="10"/>
      <c r="R38" s="10"/>
      <c r="V38" s="10"/>
      <c r="W38" s="10"/>
      <c r="X38" s="10"/>
      <c r="Y38" s="10"/>
      <c r="AC38" s="10"/>
      <c r="AD38" s="10"/>
      <c r="AE38" s="10"/>
      <c r="AF38" s="10"/>
      <c r="AJ38" s="10"/>
      <c r="AK38" s="10"/>
      <c r="AL38" s="10"/>
      <c r="AM38" s="10"/>
      <c r="AQ38" s="10"/>
      <c r="AR38" s="10"/>
      <c r="AS38" s="10"/>
      <c r="AT38" s="10"/>
      <c r="AX38" s="10"/>
      <c r="AY38" s="10"/>
      <c r="AZ38" s="10"/>
      <c r="BA38" s="10"/>
      <c r="BE38" s="10"/>
      <c r="BF38" s="10"/>
      <c r="BG38" s="10"/>
      <c r="BH38" s="10"/>
      <c r="BL38" s="10"/>
      <c r="BM38" s="10"/>
      <c r="BN38" s="10"/>
      <c r="BO38" s="10"/>
      <c r="BS38" s="10"/>
      <c r="BT38" s="10"/>
      <c r="BU38" s="10"/>
      <c r="BV38" s="10"/>
      <c r="BZ38" s="10"/>
      <c r="CA38" s="10"/>
      <c r="CB38" s="10"/>
      <c r="CC38" s="10"/>
      <c r="CG38" s="10"/>
      <c r="CH38" s="10"/>
      <c r="CI38" s="10"/>
      <c r="CJ38" s="10"/>
      <c r="CN38" s="10"/>
      <c r="CO38" s="10">
        <v>1</v>
      </c>
      <c r="CP38" s="10"/>
      <c r="CQ38" s="10">
        <v>1</v>
      </c>
    </row>
    <row r="39" spans="2:95" outlineLevel="1" x14ac:dyDescent="0.3">
      <c r="B39" t="s">
        <v>20</v>
      </c>
      <c r="C39" t="s">
        <v>56</v>
      </c>
      <c r="E39" s="9"/>
      <c r="F39" t="s">
        <v>31</v>
      </c>
      <c r="G39" s="10">
        <v>0.1</v>
      </c>
      <c r="I39" s="9">
        <f t="shared" si="5"/>
        <v>0</v>
      </c>
      <c r="J39" s="11">
        <f t="shared" si="4"/>
        <v>0</v>
      </c>
      <c r="K39" s="11">
        <f t="shared" si="4"/>
        <v>0</v>
      </c>
      <c r="L39" s="9"/>
      <c r="O39" s="10"/>
      <c r="P39" s="10"/>
      <c r="Q39" s="10"/>
      <c r="R39" s="10"/>
      <c r="V39" s="10"/>
      <c r="W39" s="10"/>
      <c r="X39" s="10"/>
      <c r="Y39" s="10"/>
      <c r="AC39" s="10"/>
      <c r="AD39" s="10"/>
      <c r="AE39" s="10"/>
      <c r="AF39" s="10"/>
      <c r="AJ39" s="10"/>
      <c r="AK39" s="10"/>
      <c r="AL39" s="10"/>
      <c r="AM39" s="10"/>
      <c r="AQ39" s="10"/>
      <c r="AR39" s="10"/>
      <c r="AS39" s="10"/>
      <c r="AT39" s="10"/>
      <c r="AX39" s="10"/>
      <c r="AY39" s="10"/>
      <c r="AZ39" s="10"/>
      <c r="BA39" s="10"/>
      <c r="BE39" s="10"/>
      <c r="BF39" s="10"/>
      <c r="BG39" s="10"/>
      <c r="BH39" s="10"/>
      <c r="BL39" s="10"/>
      <c r="BM39" s="10"/>
      <c r="BN39" s="10"/>
      <c r="BO39" s="10"/>
      <c r="BS39" s="10"/>
      <c r="BT39" s="10"/>
      <c r="BU39" s="10"/>
      <c r="BV39" s="10"/>
      <c r="BZ39" s="10"/>
      <c r="CA39" s="10"/>
      <c r="CB39" s="10"/>
      <c r="CC39" s="10"/>
      <c r="CG39" s="10"/>
      <c r="CH39" s="10"/>
      <c r="CI39" s="10"/>
      <c r="CJ39" s="10"/>
      <c r="CN39" s="10"/>
      <c r="CO39" s="10">
        <v>1</v>
      </c>
      <c r="CP39" s="10"/>
      <c r="CQ39" s="10">
        <v>1</v>
      </c>
    </row>
    <row r="40" spans="2:95" outlineLevel="1" x14ac:dyDescent="0.3">
      <c r="B40" t="s">
        <v>20</v>
      </c>
      <c r="C40" t="s">
        <v>56</v>
      </c>
      <c r="E40" s="9"/>
      <c r="F40" t="s">
        <v>32</v>
      </c>
      <c r="G40" s="10">
        <v>0.1</v>
      </c>
      <c r="I40" s="9">
        <f t="shared" si="5"/>
        <v>0</v>
      </c>
      <c r="J40" s="11">
        <f t="shared" si="4"/>
        <v>0</v>
      </c>
      <c r="K40" s="11">
        <f t="shared" si="4"/>
        <v>0</v>
      </c>
      <c r="L40" s="9"/>
      <c r="O40" s="10"/>
      <c r="P40" s="10"/>
      <c r="Q40" s="10"/>
      <c r="R40" s="10"/>
      <c r="V40" s="10"/>
      <c r="W40" s="10"/>
      <c r="X40" s="10"/>
      <c r="Y40" s="10"/>
      <c r="AC40" s="10"/>
      <c r="AD40" s="10"/>
      <c r="AE40" s="10"/>
      <c r="AF40" s="10"/>
      <c r="AJ40" s="10"/>
      <c r="AK40" s="10"/>
      <c r="AL40" s="10"/>
      <c r="AM40" s="10"/>
      <c r="AQ40" s="10"/>
      <c r="AR40" s="10"/>
      <c r="AS40" s="10"/>
      <c r="AT40" s="10"/>
      <c r="AX40" s="10"/>
      <c r="AY40" s="10"/>
      <c r="AZ40" s="10"/>
      <c r="BA40" s="10"/>
      <c r="BE40" s="10"/>
      <c r="BF40" s="10"/>
      <c r="BG40" s="10"/>
      <c r="BH40" s="10"/>
      <c r="BL40" s="10"/>
      <c r="BM40" s="10"/>
      <c r="BN40" s="10"/>
      <c r="BO40" s="10"/>
      <c r="BS40" s="10"/>
      <c r="BT40" s="10"/>
      <c r="BU40" s="10"/>
      <c r="BV40" s="10"/>
      <c r="BZ40" s="10"/>
      <c r="CA40" s="10"/>
      <c r="CB40" s="10"/>
      <c r="CC40" s="10"/>
      <c r="CG40" s="10"/>
      <c r="CH40" s="10"/>
      <c r="CI40" s="10"/>
      <c r="CJ40" s="10"/>
      <c r="CN40" s="10"/>
      <c r="CO40" s="10">
        <v>1</v>
      </c>
      <c r="CP40" s="10"/>
      <c r="CQ40" s="10">
        <v>1</v>
      </c>
    </row>
    <row r="41" spans="2:95" outlineLevel="1" x14ac:dyDescent="0.3">
      <c r="B41" t="s">
        <v>20</v>
      </c>
      <c r="C41" t="s">
        <v>56</v>
      </c>
      <c r="E41" s="9"/>
      <c r="F41" t="s">
        <v>33</v>
      </c>
      <c r="G41" s="10">
        <v>0.1</v>
      </c>
      <c r="I41" s="9">
        <f>+SUMIF($N$3:$ZZ$3,I$3,$N41:$ZZ41)</f>
        <v>0</v>
      </c>
      <c r="J41" s="11">
        <f t="shared" si="4"/>
        <v>0</v>
      </c>
      <c r="K41" s="11">
        <f t="shared" si="4"/>
        <v>0</v>
      </c>
      <c r="L41" s="9"/>
      <c r="O41" s="10"/>
      <c r="P41" s="10"/>
      <c r="Q41" s="10"/>
      <c r="R41" s="10"/>
      <c r="V41" s="10"/>
      <c r="W41" s="10"/>
      <c r="X41" s="10"/>
      <c r="Y41" s="10"/>
      <c r="AC41" s="10"/>
      <c r="AD41" s="10"/>
      <c r="AE41" s="10"/>
      <c r="AF41" s="10"/>
      <c r="AJ41" s="10"/>
      <c r="AK41" s="10"/>
      <c r="AL41" s="10"/>
      <c r="AM41" s="10"/>
      <c r="AQ41" s="10"/>
      <c r="AR41" s="10"/>
      <c r="AS41" s="10"/>
      <c r="AT41" s="10"/>
      <c r="AX41" s="10"/>
      <c r="AY41" s="10"/>
      <c r="AZ41" s="10"/>
      <c r="BA41" s="10"/>
      <c r="BE41" s="10"/>
      <c r="BF41" s="10"/>
      <c r="BG41" s="10"/>
      <c r="BH41" s="10"/>
      <c r="BL41" s="10"/>
      <c r="BM41" s="10"/>
      <c r="BN41" s="10"/>
      <c r="BO41" s="10"/>
      <c r="BS41" s="10"/>
      <c r="BT41" s="10"/>
      <c r="BU41" s="10"/>
      <c r="BV41" s="10"/>
      <c r="BZ41" s="10"/>
      <c r="CA41" s="10"/>
      <c r="CB41" s="10"/>
      <c r="CC41" s="10"/>
      <c r="CG41" s="10"/>
      <c r="CH41" s="10"/>
      <c r="CI41" s="10"/>
      <c r="CJ41" s="10"/>
      <c r="CN41" s="10"/>
      <c r="CO41" s="10">
        <v>1</v>
      </c>
      <c r="CP41" s="10"/>
      <c r="CQ41" s="10">
        <v>1</v>
      </c>
    </row>
    <row r="43" spans="2:95" x14ac:dyDescent="0.3">
      <c r="B43" t="s">
        <v>19</v>
      </c>
      <c r="C43" t="s">
        <v>57</v>
      </c>
      <c r="D43" s="18">
        <v>44597</v>
      </c>
      <c r="E43" s="9">
        <v>8</v>
      </c>
      <c r="G43" s="10">
        <f>+SUM(G44:G55)</f>
        <v>0.99999999999999989</v>
      </c>
      <c r="I43" s="12">
        <f>+SUM(I44:I55)</f>
        <v>0</v>
      </c>
      <c r="J43" s="11">
        <f>+SUMPRODUCT(G44:G55,J44:J55)</f>
        <v>0</v>
      </c>
      <c r="K43" s="11">
        <f>+SUMPRODUCT(G44:G55,K44:K55)</f>
        <v>0</v>
      </c>
      <c r="L43" s="9"/>
      <c r="N43" s="12">
        <f>+SUM(N44:N55)</f>
        <v>0</v>
      </c>
      <c r="U43" s="12">
        <f>+SUM(U44:U55)</f>
        <v>0</v>
      </c>
      <c r="AB43" s="12">
        <f>+SUM(AB44:AB55)</f>
        <v>0</v>
      </c>
      <c r="AI43" s="12">
        <f>+SUM(AI44:AI55)</f>
        <v>0</v>
      </c>
      <c r="AP43" s="12">
        <f>+SUM(AP44:AP55)</f>
        <v>0</v>
      </c>
      <c r="AW43" s="12">
        <f>+SUM(AW44:AW55)</f>
        <v>0</v>
      </c>
      <c r="BD43" s="12">
        <f>+SUM(BD44:BD55)</f>
        <v>0</v>
      </c>
      <c r="BK43" s="12">
        <f>+SUM(BK44:BK55)</f>
        <v>0</v>
      </c>
      <c r="BR43" s="12">
        <f>+SUM(BR44:BR55)</f>
        <v>0</v>
      </c>
      <c r="BY43" s="12">
        <f>+SUM(BY44:BY55)</f>
        <v>0</v>
      </c>
      <c r="CF43" s="12">
        <f>+SUM(CF44:CF55)</f>
        <v>0</v>
      </c>
      <c r="CM43" s="12">
        <f>+SUM(CM44:CM55)</f>
        <v>0</v>
      </c>
    </row>
    <row r="44" spans="2:95" outlineLevel="1" x14ac:dyDescent="0.3">
      <c r="B44" t="s">
        <v>20</v>
      </c>
      <c r="C44" t="s">
        <v>57</v>
      </c>
      <c r="E44" s="9"/>
      <c r="F44" t="s">
        <v>22</v>
      </c>
      <c r="G44" s="10">
        <v>0.1</v>
      </c>
      <c r="I44" s="9">
        <f>+SUMIF($N$3:$ZZ$3,I$3,$N44:$ZZ44)</f>
        <v>0</v>
      </c>
      <c r="J44" s="11">
        <f t="shared" ref="J44:K55" si="6">+_xlfn.MAXIFS($N44:$ZF44,$N$3:$ZF$3,J$3)</f>
        <v>0</v>
      </c>
      <c r="K44" s="11">
        <f t="shared" si="6"/>
        <v>0</v>
      </c>
      <c r="L44" s="9"/>
      <c r="O44" s="10"/>
      <c r="P44" s="10"/>
      <c r="Q44" s="10"/>
      <c r="R44" s="10"/>
      <c r="V44" s="10"/>
      <c r="W44" s="10"/>
      <c r="X44" s="10"/>
      <c r="Y44" s="10"/>
      <c r="AC44" s="10"/>
      <c r="AD44" s="10"/>
      <c r="AE44" s="10"/>
      <c r="AF44" s="10"/>
      <c r="AJ44" s="10"/>
      <c r="AK44" s="10"/>
      <c r="AL44" s="10"/>
      <c r="AM44" s="10"/>
      <c r="AQ44" s="10"/>
      <c r="AR44" s="10"/>
      <c r="AS44" s="10"/>
      <c r="AT44" s="10"/>
      <c r="AX44" s="10"/>
      <c r="AY44" s="10"/>
      <c r="AZ44" s="10"/>
      <c r="BA44" s="10"/>
      <c r="BE44" s="10"/>
      <c r="BF44" s="10"/>
      <c r="BG44" s="10"/>
      <c r="BH44" s="10"/>
      <c r="BL44" s="10"/>
      <c r="BM44" s="10"/>
      <c r="BN44" s="10"/>
      <c r="BO44" s="10"/>
      <c r="BS44" s="10"/>
      <c r="BT44" s="10"/>
      <c r="BU44" s="10"/>
      <c r="BV44" s="10"/>
      <c r="BZ44" s="10"/>
      <c r="CA44" s="10"/>
      <c r="CB44" s="10"/>
      <c r="CC44" s="10"/>
      <c r="CG44" s="10"/>
      <c r="CH44" s="10"/>
      <c r="CI44" s="10"/>
      <c r="CJ44" s="10"/>
      <c r="CN44" s="10"/>
      <c r="CO44" s="10">
        <v>1</v>
      </c>
      <c r="CP44" s="10"/>
      <c r="CQ44" s="10">
        <v>1</v>
      </c>
    </row>
    <row r="45" spans="2:95" outlineLevel="1" x14ac:dyDescent="0.3">
      <c r="B45" t="s">
        <v>20</v>
      </c>
      <c r="C45" t="s">
        <v>57</v>
      </c>
      <c r="E45" s="9"/>
      <c r="F45" t="s">
        <v>23</v>
      </c>
      <c r="G45" s="10">
        <v>0.05</v>
      </c>
      <c r="I45" s="9">
        <f t="shared" ref="I45:I54" si="7">+SUMIF($N$3:$ZZ$3,I$3,$N45:$ZZ45)</f>
        <v>0</v>
      </c>
      <c r="J45" s="11">
        <f t="shared" si="6"/>
        <v>0</v>
      </c>
      <c r="K45" s="11">
        <f t="shared" si="6"/>
        <v>0</v>
      </c>
      <c r="L45" s="9"/>
      <c r="O45" s="10"/>
      <c r="P45" s="10"/>
      <c r="Q45" s="10"/>
      <c r="R45" s="10"/>
      <c r="V45" s="10"/>
      <c r="W45" s="10"/>
      <c r="X45" s="10"/>
      <c r="Y45" s="10"/>
      <c r="AC45" s="10"/>
      <c r="AD45" s="10"/>
      <c r="AE45" s="10"/>
      <c r="AF45" s="10"/>
      <c r="AJ45" s="10"/>
      <c r="AK45" s="10"/>
      <c r="AL45" s="10"/>
      <c r="AM45" s="10"/>
      <c r="AQ45" s="10"/>
      <c r="AR45" s="10"/>
      <c r="AS45" s="10"/>
      <c r="AT45" s="10"/>
      <c r="AX45" s="10"/>
      <c r="AY45" s="10"/>
      <c r="AZ45" s="10"/>
      <c r="BA45" s="10"/>
      <c r="BE45" s="10"/>
      <c r="BF45" s="10"/>
      <c r="BG45" s="10"/>
      <c r="BH45" s="10"/>
      <c r="BL45" s="10"/>
      <c r="BM45" s="10"/>
      <c r="BN45" s="10"/>
      <c r="BO45" s="10"/>
      <c r="BS45" s="10"/>
      <c r="BT45" s="10"/>
      <c r="BU45" s="10"/>
      <c r="BV45" s="10"/>
      <c r="BZ45" s="10"/>
      <c r="CA45" s="10"/>
      <c r="CB45" s="10"/>
      <c r="CC45" s="10"/>
      <c r="CG45" s="10"/>
      <c r="CH45" s="10"/>
      <c r="CI45" s="10"/>
      <c r="CJ45" s="10"/>
      <c r="CN45" s="10"/>
      <c r="CO45" s="10">
        <v>1</v>
      </c>
      <c r="CP45" s="10"/>
      <c r="CQ45" s="10">
        <v>1</v>
      </c>
    </row>
    <row r="46" spans="2:95" outlineLevel="1" x14ac:dyDescent="0.3">
      <c r="B46" t="s">
        <v>20</v>
      </c>
      <c r="C46" t="s">
        <v>57</v>
      </c>
      <c r="E46" s="9"/>
      <c r="F46" t="s">
        <v>24</v>
      </c>
      <c r="G46" s="10">
        <v>0.05</v>
      </c>
      <c r="I46" s="9">
        <f t="shared" si="7"/>
        <v>0</v>
      </c>
      <c r="J46" s="11">
        <f t="shared" si="6"/>
        <v>0</v>
      </c>
      <c r="K46" s="11">
        <f t="shared" si="6"/>
        <v>0</v>
      </c>
      <c r="L46" s="9"/>
      <c r="O46" s="10"/>
      <c r="P46" s="10"/>
      <c r="Q46" s="10"/>
      <c r="R46" s="10"/>
      <c r="V46" s="10"/>
      <c r="W46" s="10"/>
      <c r="X46" s="10"/>
      <c r="Y46" s="10"/>
      <c r="AC46" s="10"/>
      <c r="AD46" s="10"/>
      <c r="AE46" s="10"/>
      <c r="AF46" s="10"/>
      <c r="AJ46" s="10"/>
      <c r="AK46" s="10"/>
      <c r="AL46" s="10"/>
      <c r="AM46" s="10"/>
      <c r="AQ46" s="10"/>
      <c r="AR46" s="10"/>
      <c r="AS46" s="10"/>
      <c r="AT46" s="10"/>
      <c r="AX46" s="10"/>
      <c r="AY46" s="10"/>
      <c r="AZ46" s="10"/>
      <c r="BA46" s="10"/>
      <c r="BE46" s="10"/>
      <c r="BF46" s="10"/>
      <c r="BG46" s="10"/>
      <c r="BH46" s="10"/>
      <c r="BL46" s="10"/>
      <c r="BM46" s="10"/>
      <c r="BN46" s="10"/>
      <c r="BO46" s="10"/>
      <c r="BS46" s="10"/>
      <c r="BT46" s="10"/>
      <c r="BU46" s="10"/>
      <c r="BV46" s="10"/>
      <c r="BZ46" s="10"/>
      <c r="CA46" s="10"/>
      <c r="CB46" s="10"/>
      <c r="CC46" s="10"/>
      <c r="CG46" s="10"/>
      <c r="CH46" s="10"/>
      <c r="CI46" s="10"/>
      <c r="CJ46" s="10"/>
      <c r="CN46" s="10"/>
      <c r="CO46" s="10">
        <v>1</v>
      </c>
      <c r="CP46" s="10"/>
      <c r="CQ46" s="10">
        <v>1</v>
      </c>
    </row>
    <row r="47" spans="2:95" outlineLevel="1" x14ac:dyDescent="0.3">
      <c r="B47" t="s">
        <v>20</v>
      </c>
      <c r="C47" t="s">
        <v>57</v>
      </c>
      <c r="E47" s="9"/>
      <c r="F47" t="s">
        <v>25</v>
      </c>
      <c r="G47" s="10">
        <v>0.05</v>
      </c>
      <c r="I47" s="9">
        <f t="shared" si="7"/>
        <v>0</v>
      </c>
      <c r="J47" s="11">
        <f t="shared" si="6"/>
        <v>0</v>
      </c>
      <c r="K47" s="11">
        <f t="shared" si="6"/>
        <v>0</v>
      </c>
      <c r="L47" s="9"/>
      <c r="O47" s="10"/>
      <c r="P47" s="10"/>
      <c r="Q47" s="10"/>
      <c r="R47" s="10"/>
      <c r="V47" s="10"/>
      <c r="W47" s="10"/>
      <c r="X47" s="10"/>
      <c r="Y47" s="10"/>
      <c r="AC47" s="10"/>
      <c r="AD47" s="10"/>
      <c r="AE47" s="10"/>
      <c r="AF47" s="10"/>
      <c r="AJ47" s="10"/>
      <c r="AK47" s="10"/>
      <c r="AL47" s="10"/>
      <c r="AM47" s="10"/>
      <c r="AQ47" s="10"/>
      <c r="AR47" s="10"/>
      <c r="AS47" s="10"/>
      <c r="AT47" s="10"/>
      <c r="AX47" s="10"/>
      <c r="AY47" s="10"/>
      <c r="AZ47" s="10"/>
      <c r="BA47" s="10"/>
      <c r="BE47" s="10"/>
      <c r="BF47" s="10"/>
      <c r="BG47" s="10"/>
      <c r="BH47" s="10"/>
      <c r="BL47" s="10"/>
      <c r="BM47" s="10"/>
      <c r="BN47" s="10"/>
      <c r="BO47" s="10"/>
      <c r="BS47" s="10"/>
      <c r="BT47" s="10"/>
      <c r="BU47" s="10"/>
      <c r="BV47" s="10"/>
      <c r="BZ47" s="10"/>
      <c r="CA47" s="10"/>
      <c r="CB47" s="10"/>
      <c r="CC47" s="10"/>
      <c r="CG47" s="10"/>
      <c r="CH47" s="10"/>
      <c r="CI47" s="10"/>
      <c r="CJ47" s="10"/>
      <c r="CN47" s="10"/>
      <c r="CO47" s="10">
        <v>1</v>
      </c>
      <c r="CP47" s="10"/>
      <c r="CQ47" s="10">
        <v>1</v>
      </c>
    </row>
    <row r="48" spans="2:95" outlineLevel="1" x14ac:dyDescent="0.3">
      <c r="B48" t="s">
        <v>20</v>
      </c>
      <c r="C48" t="s">
        <v>57</v>
      </c>
      <c r="E48" s="9"/>
      <c r="F48" t="s">
        <v>26</v>
      </c>
      <c r="G48" s="10">
        <v>0.05</v>
      </c>
      <c r="I48" s="9">
        <f t="shared" si="7"/>
        <v>0</v>
      </c>
      <c r="J48" s="11">
        <f t="shared" si="6"/>
        <v>0</v>
      </c>
      <c r="K48" s="11">
        <f t="shared" si="6"/>
        <v>0</v>
      </c>
      <c r="L48" s="9"/>
      <c r="O48" s="10"/>
      <c r="P48" s="10"/>
      <c r="Q48" s="10"/>
      <c r="R48" s="10"/>
      <c r="V48" s="10"/>
      <c r="W48" s="10"/>
      <c r="X48" s="10"/>
      <c r="Y48" s="10"/>
      <c r="AC48" s="10"/>
      <c r="AD48" s="10"/>
      <c r="AE48" s="10"/>
      <c r="AF48" s="10"/>
      <c r="AJ48" s="10"/>
      <c r="AK48" s="10"/>
      <c r="AL48" s="10"/>
      <c r="AM48" s="10"/>
      <c r="AQ48" s="10"/>
      <c r="AR48" s="10"/>
      <c r="AS48" s="10"/>
      <c r="AT48" s="10"/>
      <c r="AX48" s="10"/>
      <c r="AY48" s="10"/>
      <c r="AZ48" s="10"/>
      <c r="BA48" s="10"/>
      <c r="BE48" s="10"/>
      <c r="BF48" s="10"/>
      <c r="BG48" s="10"/>
      <c r="BH48" s="10"/>
      <c r="BL48" s="10"/>
      <c r="BM48" s="10"/>
      <c r="BN48" s="10"/>
      <c r="BO48" s="10"/>
      <c r="BS48" s="10"/>
      <c r="BT48" s="10"/>
      <c r="BU48" s="10"/>
      <c r="BV48" s="10"/>
      <c r="BZ48" s="10"/>
      <c r="CA48" s="10"/>
      <c r="CB48" s="10"/>
      <c r="CC48" s="10"/>
      <c r="CG48" s="10"/>
      <c r="CH48" s="10"/>
      <c r="CI48" s="10"/>
      <c r="CJ48" s="10"/>
      <c r="CN48" s="10"/>
      <c r="CO48" s="10">
        <v>1</v>
      </c>
      <c r="CP48" s="10"/>
      <c r="CQ48" s="10">
        <v>1</v>
      </c>
    </row>
    <row r="49" spans="2:95" outlineLevel="1" x14ac:dyDescent="0.3">
      <c r="B49" t="s">
        <v>20</v>
      </c>
      <c r="C49" t="s">
        <v>57</v>
      </c>
      <c r="E49" s="9"/>
      <c r="F49" t="s">
        <v>27</v>
      </c>
      <c r="G49" s="10">
        <v>0.1</v>
      </c>
      <c r="I49" s="9">
        <f t="shared" si="7"/>
        <v>0</v>
      </c>
      <c r="J49" s="11">
        <f t="shared" si="6"/>
        <v>0</v>
      </c>
      <c r="K49" s="11">
        <f t="shared" si="6"/>
        <v>0</v>
      </c>
      <c r="L49" s="9"/>
      <c r="O49" s="10"/>
      <c r="P49" s="10"/>
      <c r="Q49" s="10"/>
      <c r="R49" s="10"/>
      <c r="V49" s="10"/>
      <c r="W49" s="10"/>
      <c r="X49" s="10"/>
      <c r="Y49" s="10"/>
      <c r="AC49" s="10"/>
      <c r="AD49" s="10"/>
      <c r="AE49" s="10"/>
      <c r="AF49" s="10"/>
      <c r="AJ49" s="10"/>
      <c r="AK49" s="10"/>
      <c r="AL49" s="10"/>
      <c r="AM49" s="10"/>
      <c r="AQ49" s="10"/>
      <c r="AR49" s="10"/>
      <c r="AS49" s="10"/>
      <c r="AT49" s="10"/>
      <c r="AX49" s="10"/>
      <c r="AY49" s="10"/>
      <c r="AZ49" s="10"/>
      <c r="BA49" s="10"/>
      <c r="BE49" s="10"/>
      <c r="BF49" s="10"/>
      <c r="BG49" s="10"/>
      <c r="BH49" s="10"/>
      <c r="BL49" s="10"/>
      <c r="BM49" s="10"/>
      <c r="BN49" s="10"/>
      <c r="BO49" s="10"/>
      <c r="BS49" s="10"/>
      <c r="BT49" s="10"/>
      <c r="BU49" s="10"/>
      <c r="BV49" s="10"/>
      <c r="BZ49" s="10"/>
      <c r="CA49" s="10"/>
      <c r="CB49" s="10"/>
      <c r="CC49" s="10"/>
      <c r="CG49" s="10"/>
      <c r="CH49" s="10"/>
      <c r="CI49" s="10"/>
      <c r="CJ49" s="10"/>
      <c r="CN49" s="10"/>
      <c r="CO49" s="10">
        <v>1</v>
      </c>
      <c r="CP49" s="10"/>
      <c r="CQ49" s="10">
        <v>1</v>
      </c>
    </row>
    <row r="50" spans="2:95" outlineLevel="1" x14ac:dyDescent="0.3">
      <c r="B50" t="s">
        <v>20</v>
      </c>
      <c r="C50" t="s">
        <v>57</v>
      </c>
      <c r="E50" s="9"/>
      <c r="F50" t="s">
        <v>28</v>
      </c>
      <c r="G50" s="10">
        <v>0.1</v>
      </c>
      <c r="I50" s="9">
        <f t="shared" si="7"/>
        <v>0</v>
      </c>
      <c r="J50" s="11">
        <f t="shared" si="6"/>
        <v>0</v>
      </c>
      <c r="K50" s="11">
        <f t="shared" si="6"/>
        <v>0</v>
      </c>
      <c r="L50" s="9"/>
      <c r="O50" s="10"/>
      <c r="P50" s="10"/>
      <c r="Q50" s="10"/>
      <c r="R50" s="10"/>
      <c r="V50" s="10"/>
      <c r="W50" s="10"/>
      <c r="X50" s="10"/>
      <c r="Y50" s="10"/>
      <c r="AC50" s="10"/>
      <c r="AD50" s="10"/>
      <c r="AE50" s="10"/>
      <c r="AF50" s="10"/>
      <c r="AJ50" s="10"/>
      <c r="AK50" s="10"/>
      <c r="AL50" s="10"/>
      <c r="AM50" s="10"/>
      <c r="AQ50" s="10"/>
      <c r="AR50" s="10"/>
      <c r="AS50" s="10"/>
      <c r="AT50" s="10"/>
      <c r="AX50" s="10"/>
      <c r="AY50" s="10"/>
      <c r="AZ50" s="10"/>
      <c r="BA50" s="10"/>
      <c r="BE50" s="10"/>
      <c r="BF50" s="10"/>
      <c r="BG50" s="10"/>
      <c r="BH50" s="10"/>
      <c r="BL50" s="10"/>
      <c r="BM50" s="10"/>
      <c r="BN50" s="10"/>
      <c r="BO50" s="10"/>
      <c r="BS50" s="10"/>
      <c r="BT50" s="10"/>
      <c r="BU50" s="10"/>
      <c r="BV50" s="10"/>
      <c r="BZ50" s="10"/>
      <c r="CA50" s="10"/>
      <c r="CB50" s="10"/>
      <c r="CC50" s="10"/>
      <c r="CG50" s="10"/>
      <c r="CH50" s="10"/>
      <c r="CI50" s="10"/>
      <c r="CJ50" s="10"/>
      <c r="CN50" s="10"/>
      <c r="CO50" s="10">
        <v>1</v>
      </c>
      <c r="CP50" s="10"/>
      <c r="CQ50" s="10">
        <v>1</v>
      </c>
    </row>
    <row r="51" spans="2:95" outlineLevel="1" x14ac:dyDescent="0.3">
      <c r="B51" t="s">
        <v>20</v>
      </c>
      <c r="C51" t="s">
        <v>57</v>
      </c>
      <c r="E51" s="9"/>
      <c r="F51" t="s">
        <v>29</v>
      </c>
      <c r="G51" s="10">
        <v>0.1</v>
      </c>
      <c r="I51" s="9">
        <f t="shared" si="7"/>
        <v>0</v>
      </c>
      <c r="J51" s="11">
        <f t="shared" si="6"/>
        <v>0</v>
      </c>
      <c r="K51" s="11">
        <f t="shared" si="6"/>
        <v>0</v>
      </c>
      <c r="L51" s="9"/>
      <c r="O51" s="10"/>
      <c r="P51" s="10"/>
      <c r="Q51" s="10"/>
      <c r="R51" s="10"/>
      <c r="V51" s="10"/>
      <c r="W51" s="10"/>
      <c r="X51" s="10"/>
      <c r="Y51" s="10"/>
      <c r="AC51" s="10"/>
      <c r="AD51" s="10"/>
      <c r="AE51" s="10"/>
      <c r="AF51" s="10"/>
      <c r="AJ51" s="10"/>
      <c r="AK51" s="10"/>
      <c r="AL51" s="10"/>
      <c r="AM51" s="10"/>
      <c r="AQ51" s="10"/>
      <c r="AR51" s="10"/>
      <c r="AS51" s="10"/>
      <c r="AT51" s="10"/>
      <c r="AX51" s="10"/>
      <c r="AY51" s="10"/>
      <c r="AZ51" s="10"/>
      <c r="BA51" s="10"/>
      <c r="BE51" s="10"/>
      <c r="BF51" s="10"/>
      <c r="BG51" s="10"/>
      <c r="BH51" s="10"/>
      <c r="BL51" s="10"/>
      <c r="BM51" s="10"/>
      <c r="BN51" s="10"/>
      <c r="BO51" s="10"/>
      <c r="BS51" s="10"/>
      <c r="BT51" s="10"/>
      <c r="BU51" s="10"/>
      <c r="BV51" s="10"/>
      <c r="BZ51" s="10"/>
      <c r="CA51" s="10"/>
      <c r="CB51" s="10"/>
      <c r="CC51" s="10"/>
      <c r="CG51" s="10"/>
      <c r="CH51" s="10"/>
      <c r="CI51" s="10"/>
      <c r="CJ51" s="10"/>
      <c r="CN51" s="10"/>
      <c r="CO51" s="10">
        <v>1</v>
      </c>
      <c r="CP51" s="10"/>
      <c r="CQ51" s="10">
        <v>1</v>
      </c>
    </row>
    <row r="52" spans="2:95" outlineLevel="1" x14ac:dyDescent="0.3">
      <c r="B52" t="s">
        <v>20</v>
      </c>
      <c r="C52" t="s">
        <v>57</v>
      </c>
      <c r="E52" s="9"/>
      <c r="F52" t="s">
        <v>30</v>
      </c>
      <c r="G52" s="10">
        <v>0.1</v>
      </c>
      <c r="I52" s="9">
        <f t="shared" si="7"/>
        <v>0</v>
      </c>
      <c r="J52" s="11">
        <f t="shared" si="6"/>
        <v>0</v>
      </c>
      <c r="K52" s="11">
        <f t="shared" si="6"/>
        <v>0</v>
      </c>
      <c r="L52" s="9"/>
      <c r="O52" s="10"/>
      <c r="P52" s="10"/>
      <c r="Q52" s="10"/>
      <c r="R52" s="10"/>
      <c r="V52" s="10"/>
      <c r="W52" s="10"/>
      <c r="X52" s="10"/>
      <c r="Y52" s="10"/>
      <c r="AC52" s="10"/>
      <c r="AD52" s="10"/>
      <c r="AE52" s="10"/>
      <c r="AF52" s="10"/>
      <c r="AJ52" s="10"/>
      <c r="AK52" s="10"/>
      <c r="AL52" s="10"/>
      <c r="AM52" s="10"/>
      <c r="AQ52" s="10"/>
      <c r="AR52" s="10"/>
      <c r="AS52" s="10"/>
      <c r="AT52" s="10"/>
      <c r="AX52" s="10"/>
      <c r="AY52" s="10"/>
      <c r="AZ52" s="10"/>
      <c r="BA52" s="10"/>
      <c r="BE52" s="10"/>
      <c r="BF52" s="10"/>
      <c r="BG52" s="10"/>
      <c r="BH52" s="10"/>
      <c r="BL52" s="10"/>
      <c r="BM52" s="10"/>
      <c r="BN52" s="10"/>
      <c r="BO52" s="10"/>
      <c r="BS52" s="10"/>
      <c r="BT52" s="10"/>
      <c r="BU52" s="10"/>
      <c r="BV52" s="10"/>
      <c r="BZ52" s="10"/>
      <c r="CA52" s="10"/>
      <c r="CB52" s="10"/>
      <c r="CC52" s="10"/>
      <c r="CG52" s="10"/>
      <c r="CH52" s="10"/>
      <c r="CI52" s="10"/>
      <c r="CJ52" s="10"/>
      <c r="CN52" s="10"/>
      <c r="CO52" s="10">
        <v>1</v>
      </c>
      <c r="CP52" s="10"/>
      <c r="CQ52" s="10">
        <v>1</v>
      </c>
    </row>
    <row r="53" spans="2:95" outlineLevel="1" x14ac:dyDescent="0.3">
      <c r="B53" t="s">
        <v>20</v>
      </c>
      <c r="C53" t="s">
        <v>57</v>
      </c>
      <c r="E53" s="9"/>
      <c r="F53" t="s">
        <v>31</v>
      </c>
      <c r="G53" s="10">
        <v>0.1</v>
      </c>
      <c r="I53" s="9">
        <f t="shared" si="7"/>
        <v>0</v>
      </c>
      <c r="J53" s="11">
        <f t="shared" si="6"/>
        <v>0</v>
      </c>
      <c r="K53" s="11">
        <f t="shared" si="6"/>
        <v>0</v>
      </c>
      <c r="L53" s="9"/>
      <c r="O53" s="10"/>
      <c r="P53" s="10"/>
      <c r="Q53" s="10"/>
      <c r="R53" s="10"/>
      <c r="V53" s="10"/>
      <c r="W53" s="10"/>
      <c r="X53" s="10"/>
      <c r="Y53" s="10"/>
      <c r="AC53" s="10"/>
      <c r="AD53" s="10"/>
      <c r="AE53" s="10"/>
      <c r="AF53" s="10"/>
      <c r="AJ53" s="10"/>
      <c r="AK53" s="10"/>
      <c r="AL53" s="10"/>
      <c r="AM53" s="10"/>
      <c r="AQ53" s="10"/>
      <c r="AR53" s="10"/>
      <c r="AS53" s="10"/>
      <c r="AT53" s="10"/>
      <c r="AX53" s="10"/>
      <c r="AY53" s="10"/>
      <c r="AZ53" s="10"/>
      <c r="BA53" s="10"/>
      <c r="BE53" s="10"/>
      <c r="BF53" s="10"/>
      <c r="BG53" s="10"/>
      <c r="BH53" s="10"/>
      <c r="BL53" s="10"/>
      <c r="BM53" s="10"/>
      <c r="BN53" s="10"/>
      <c r="BO53" s="10"/>
      <c r="BS53" s="10"/>
      <c r="BT53" s="10"/>
      <c r="BU53" s="10"/>
      <c r="BV53" s="10"/>
      <c r="BZ53" s="10"/>
      <c r="CA53" s="10"/>
      <c r="CB53" s="10"/>
      <c r="CC53" s="10"/>
      <c r="CG53" s="10"/>
      <c r="CH53" s="10"/>
      <c r="CI53" s="10"/>
      <c r="CJ53" s="10"/>
      <c r="CN53" s="10"/>
      <c r="CO53" s="10">
        <v>1</v>
      </c>
      <c r="CP53" s="10"/>
      <c r="CQ53" s="10">
        <v>1</v>
      </c>
    </row>
    <row r="54" spans="2:95" outlineLevel="1" x14ac:dyDescent="0.3">
      <c r="B54" t="s">
        <v>20</v>
      </c>
      <c r="C54" t="s">
        <v>57</v>
      </c>
      <c r="E54" s="9"/>
      <c r="F54" t="s">
        <v>32</v>
      </c>
      <c r="G54" s="10">
        <v>0.1</v>
      </c>
      <c r="I54" s="9">
        <f t="shared" si="7"/>
        <v>0</v>
      </c>
      <c r="J54" s="11">
        <f t="shared" si="6"/>
        <v>0</v>
      </c>
      <c r="K54" s="11">
        <f t="shared" si="6"/>
        <v>0</v>
      </c>
      <c r="L54" s="9"/>
      <c r="O54" s="10"/>
      <c r="P54" s="10"/>
      <c r="Q54" s="10"/>
      <c r="R54" s="10"/>
      <c r="V54" s="10"/>
      <c r="W54" s="10"/>
      <c r="X54" s="10"/>
      <c r="Y54" s="10"/>
      <c r="AC54" s="10"/>
      <c r="AD54" s="10"/>
      <c r="AE54" s="10"/>
      <c r="AF54" s="10"/>
      <c r="AJ54" s="10"/>
      <c r="AK54" s="10"/>
      <c r="AL54" s="10"/>
      <c r="AM54" s="10"/>
      <c r="AQ54" s="10"/>
      <c r="AR54" s="10"/>
      <c r="AS54" s="10"/>
      <c r="AT54" s="10"/>
      <c r="AX54" s="10"/>
      <c r="AY54" s="10"/>
      <c r="AZ54" s="10"/>
      <c r="BA54" s="10"/>
      <c r="BE54" s="10"/>
      <c r="BF54" s="10"/>
      <c r="BG54" s="10"/>
      <c r="BH54" s="10"/>
      <c r="BL54" s="10"/>
      <c r="BM54" s="10"/>
      <c r="BN54" s="10"/>
      <c r="BO54" s="10"/>
      <c r="BS54" s="10"/>
      <c r="BT54" s="10"/>
      <c r="BU54" s="10"/>
      <c r="BV54" s="10"/>
      <c r="BZ54" s="10"/>
      <c r="CA54" s="10"/>
      <c r="CB54" s="10"/>
      <c r="CC54" s="10"/>
      <c r="CG54" s="10"/>
      <c r="CH54" s="10"/>
      <c r="CI54" s="10"/>
      <c r="CJ54" s="10"/>
      <c r="CN54" s="10"/>
      <c r="CO54" s="10">
        <v>1</v>
      </c>
      <c r="CP54" s="10"/>
      <c r="CQ54" s="10">
        <v>1</v>
      </c>
    </row>
    <row r="55" spans="2:95" outlineLevel="1" x14ac:dyDescent="0.3">
      <c r="B55" t="s">
        <v>20</v>
      </c>
      <c r="C55" t="s">
        <v>57</v>
      </c>
      <c r="E55" s="9"/>
      <c r="F55" t="s">
        <v>33</v>
      </c>
      <c r="G55" s="10">
        <v>0.1</v>
      </c>
      <c r="I55" s="9">
        <f>+SUMIF($N$3:$ZZ$3,I$3,$N55:$ZZ55)</f>
        <v>0</v>
      </c>
      <c r="J55" s="11">
        <f t="shared" si="6"/>
        <v>0</v>
      </c>
      <c r="K55" s="11">
        <f t="shared" si="6"/>
        <v>0</v>
      </c>
      <c r="L55" s="9"/>
      <c r="O55" s="10"/>
      <c r="P55" s="10"/>
      <c r="Q55" s="10"/>
      <c r="R55" s="10"/>
      <c r="V55" s="10"/>
      <c r="W55" s="10"/>
      <c r="X55" s="10"/>
      <c r="Y55" s="10"/>
      <c r="AC55" s="10"/>
      <c r="AD55" s="10"/>
      <c r="AE55" s="10"/>
      <c r="AF55" s="10"/>
      <c r="AJ55" s="10"/>
      <c r="AK55" s="10"/>
      <c r="AL55" s="10"/>
      <c r="AM55" s="10"/>
      <c r="AQ55" s="10"/>
      <c r="AR55" s="10"/>
      <c r="AS55" s="10"/>
      <c r="AT55" s="10"/>
      <c r="AX55" s="10"/>
      <c r="AY55" s="10"/>
      <c r="AZ55" s="10"/>
      <c r="BA55" s="10"/>
      <c r="BE55" s="10"/>
      <c r="BF55" s="10"/>
      <c r="BG55" s="10"/>
      <c r="BH55" s="10"/>
      <c r="BL55" s="10"/>
      <c r="BM55" s="10"/>
      <c r="BN55" s="10"/>
      <c r="BO55" s="10"/>
      <c r="BS55" s="10"/>
      <c r="BT55" s="10"/>
      <c r="BU55" s="10"/>
      <c r="BV55" s="10"/>
      <c r="BZ55" s="10"/>
      <c r="CA55" s="10"/>
      <c r="CB55" s="10"/>
      <c r="CC55" s="10"/>
      <c r="CG55" s="10"/>
      <c r="CH55" s="10"/>
      <c r="CI55" s="10"/>
      <c r="CJ55" s="10"/>
      <c r="CN55" s="10"/>
      <c r="CO55" s="10">
        <v>1</v>
      </c>
      <c r="CP55" s="10"/>
      <c r="CQ55" s="10">
        <v>1</v>
      </c>
    </row>
    <row r="57" spans="2:95" ht="20.399999999999999" customHeight="1" x14ac:dyDescent="0.3">
      <c r="B57" t="s">
        <v>19</v>
      </c>
      <c r="C57" t="s">
        <v>55</v>
      </c>
      <c r="E57" s="9">
        <v>1</v>
      </c>
      <c r="G57" s="10">
        <f>+SUM(G58:G69)</f>
        <v>0</v>
      </c>
      <c r="I57" s="12">
        <f>+SUM(I58:I69)</f>
        <v>0</v>
      </c>
      <c r="J57" s="11">
        <f>+SUMPRODUCT(G58:G69,J58:J69)</f>
        <v>0</v>
      </c>
      <c r="K57" s="11">
        <f>+SUMPRODUCT(G58:G69,K58:K69)</f>
        <v>0</v>
      </c>
      <c r="L57" s="9"/>
      <c r="N57" s="12">
        <f>+SUM(N58:N69)</f>
        <v>0</v>
      </c>
      <c r="U57" s="12">
        <f>+SUM(U58:U69)</f>
        <v>0</v>
      </c>
      <c r="AB57" s="12">
        <f>+SUM(AB58:AB69)</f>
        <v>0</v>
      </c>
      <c r="AI57" s="12">
        <f>+SUM(AI58:AI69)</f>
        <v>0</v>
      </c>
      <c r="AP57" s="12">
        <f>+SUM(AP58:AP69)</f>
        <v>0</v>
      </c>
      <c r="AW57" s="12">
        <f>+SUM(AW58:AW69)</f>
        <v>0</v>
      </c>
      <c r="BD57" s="12">
        <f>+SUM(BD58:BD69)</f>
        <v>0</v>
      </c>
      <c r="BK57" s="12">
        <f>+SUM(BK58:BK69)</f>
        <v>0</v>
      </c>
      <c r="BR57" s="12">
        <f>+SUM(BR58:BR69)</f>
        <v>0</v>
      </c>
      <c r="BY57" s="12">
        <f>+SUM(BY58:BY69)</f>
        <v>0</v>
      </c>
      <c r="CF57" s="12">
        <f>+SUM(CF58:CF69)</f>
        <v>0</v>
      </c>
      <c r="CM57" s="12">
        <f>+SUM(CM58:CM69)</f>
        <v>0</v>
      </c>
    </row>
  </sheetData>
  <mergeCells count="13">
    <mergeCell ref="CM2:CR2"/>
    <mergeCell ref="BK2:BP2"/>
    <mergeCell ref="BR2:BW2"/>
    <mergeCell ref="BY2:CD2"/>
    <mergeCell ref="CF2:CK2"/>
    <mergeCell ref="I2:L2"/>
    <mergeCell ref="N2:S2"/>
    <mergeCell ref="BD2:BI2"/>
    <mergeCell ref="U2:Z2"/>
    <mergeCell ref="AB2:AG2"/>
    <mergeCell ref="AI2:AN2"/>
    <mergeCell ref="AP2:AU2"/>
    <mergeCell ref="AW2:BB2"/>
  </mergeCells>
  <conditionalFormatting sqref="O5:O13 Q5:Q13 BE5:BE13 BG5:BG13 V5:V13 X5:X13 AC5:AC13 AE5:AE13 AJ5:AJ13 AL5:AL13 AX5:AX13 AZ5:AZ13 BL5:BL13 BN5:BN13 BS5:BS13 BU5:BU13 BZ5:BZ13 CB5:CB13 CG5:CG13 CI5:CI13 CN5:CN13 CP5:CP13 AQ5:AQ13 AS5:AS13">
    <cfRule type="expression" dxfId="205" priority="465">
      <formula>OR(IF(O5&lt;P5,TRUE),IF(AND(P5="",O5&lt;&gt;""),TRUE))</formula>
    </cfRule>
    <cfRule type="expression" dxfId="204" priority="466">
      <formula>IF(O5&gt;=P5,IF(O5="",FALSE,TRUE))</formula>
    </cfRule>
  </conditionalFormatting>
  <conditionalFormatting sqref="BL16:BL27">
    <cfRule type="expression" dxfId="199" priority="135">
      <formula>OR(IF(BL16&lt;BM16,TRUE),IF(AND(BM16="",BL16&lt;&gt;""),TRUE))</formula>
    </cfRule>
    <cfRule type="expression" dxfId="198" priority="136">
      <formula>IF(BL16&gt;=BM16,IF(BL16="",FALSE,TRUE))</formula>
    </cfRule>
  </conditionalFormatting>
  <conditionalFormatting sqref="BN16:BN27">
    <cfRule type="expression" dxfId="197" priority="133">
      <formula>OR(IF(BN16&lt;BO16,TRUE),IF(AND(BO16="",BN16&lt;&gt;""),TRUE))</formula>
    </cfRule>
    <cfRule type="expression" dxfId="196" priority="134">
      <formula>IF(BN16&gt;=BO16,IF(BN16="",FALSE,TRUE))</formula>
    </cfRule>
  </conditionalFormatting>
  <conditionalFormatting sqref="BL43:BL55">
    <cfRule type="expression" dxfId="195" priority="127">
      <formula>OR(IF(BL43&lt;BM43,TRUE),IF(AND(BM43="",BL43&lt;&gt;""),TRUE))</formula>
    </cfRule>
    <cfRule type="expression" dxfId="194" priority="128">
      <formula>IF(BL43&gt;=BM43,IF(BL43="",FALSE,TRUE))</formula>
    </cfRule>
  </conditionalFormatting>
  <conditionalFormatting sqref="AJ29:AJ41">
    <cfRule type="expression" dxfId="193" priority="213">
      <formula>OR(IF(AJ29&lt;AK29,TRUE),IF(AND(AK29="",AJ29&lt;&gt;""),TRUE))</formula>
    </cfRule>
    <cfRule type="expression" dxfId="192" priority="214">
      <formula>IF(AJ29&gt;=AK29,IF(AJ29="",FALSE,TRUE))</formula>
    </cfRule>
  </conditionalFormatting>
  <conditionalFormatting sqref="X29:X41">
    <cfRule type="expression" dxfId="191" priority="219">
      <formula>OR(IF(X29&lt;Y29,TRUE),IF(AND(Y29="",X29&lt;&gt;""),TRUE))</formula>
    </cfRule>
    <cfRule type="expression" dxfId="190" priority="220">
      <formula>IF(X29&gt;=Y29,IF(X29="",FALSE,TRUE))</formula>
    </cfRule>
  </conditionalFormatting>
  <conditionalFormatting sqref="AC29:AC41">
    <cfRule type="expression" dxfId="189" priority="217">
      <formula>OR(IF(AC29&lt;AD29,TRUE),IF(AND(AD29="",AC29&lt;&gt;""),TRUE))</formula>
    </cfRule>
    <cfRule type="expression" dxfId="188" priority="218">
      <formula>IF(AC29&gt;=AD29,IF(AC29="",FALSE,TRUE))</formula>
    </cfRule>
  </conditionalFormatting>
  <conditionalFormatting sqref="AE29:AE41">
    <cfRule type="expression" dxfId="187" priority="215">
      <formula>OR(IF(AE29&lt;AF29,TRUE),IF(AND(AF29="",AE29&lt;&gt;""),TRUE))</formula>
    </cfRule>
    <cfRule type="expression" dxfId="186" priority="216">
      <formula>IF(AE29&gt;=AF29,IF(AE29="",FALSE,TRUE))</formula>
    </cfRule>
  </conditionalFormatting>
  <conditionalFormatting sqref="AX29:AX41">
    <cfRule type="expression" dxfId="185" priority="205">
      <formula>OR(IF(AX29&lt;AY29,TRUE),IF(AND(AY29="",AX29&lt;&gt;""),TRUE))</formula>
    </cfRule>
    <cfRule type="expression" dxfId="184" priority="206">
      <formula>IF(AX29&gt;=AY29,IF(AX29="",FALSE,TRUE))</formula>
    </cfRule>
  </conditionalFormatting>
  <conditionalFormatting sqref="AZ29:AZ41">
    <cfRule type="expression" dxfId="183" priority="203">
      <formula>OR(IF(AZ29&lt;BA29,TRUE),IF(AND(BA29="",AZ29&lt;&gt;""),TRUE))</formula>
    </cfRule>
    <cfRule type="expression" dxfId="182" priority="204">
      <formula>IF(AZ29&gt;=BA29,IF(AZ29="",FALSE,TRUE))</formula>
    </cfRule>
  </conditionalFormatting>
  <conditionalFormatting sqref="BE29:BE41">
    <cfRule type="expression" dxfId="181" priority="201">
      <formula>OR(IF(BE29&lt;BF29,TRUE),IF(AND(BF29="",BE29&lt;&gt;""),TRUE))</formula>
    </cfRule>
    <cfRule type="expression" dxfId="180" priority="202">
      <formula>IF(BE29&gt;=BF29,IF(BE29="",FALSE,TRUE))</formula>
    </cfRule>
  </conditionalFormatting>
  <conditionalFormatting sqref="BG29:BG41">
    <cfRule type="expression" dxfId="179" priority="199">
      <formula>OR(IF(BG29&lt;BH29,TRUE),IF(AND(BH29="",BG29&lt;&gt;""),TRUE))</formula>
    </cfRule>
    <cfRule type="expression" dxfId="178" priority="200">
      <formula>IF(BG29&gt;=BH29,IF(BG29="",FALSE,TRUE))</formula>
    </cfRule>
  </conditionalFormatting>
  <conditionalFormatting sqref="BN43:BN55">
    <cfRule type="expression" dxfId="165" priority="125">
      <formula>OR(IF(BN43&lt;BO43,TRUE),IF(AND(BO43="",BN43&lt;&gt;""),TRUE))</formula>
    </cfRule>
    <cfRule type="expression" dxfId="164" priority="126">
      <formula>IF(BN43&gt;=BO43,IF(BN43="",FALSE,TRUE))</formula>
    </cfRule>
  </conditionalFormatting>
  <conditionalFormatting sqref="O43:O55">
    <cfRule type="expression" dxfId="159" priority="196">
      <formula>OR(IF(O43&lt;P43,TRUE),IF(AND(P43="",O43&lt;&gt;""),TRUE))</formula>
    </cfRule>
    <cfRule type="expression" dxfId="158" priority="197">
      <formula>IF(O43&gt;=P43,IF(O43="",FALSE,TRUE))</formula>
    </cfRule>
  </conditionalFormatting>
  <conditionalFormatting sqref="Q43:Q55">
    <cfRule type="expression" dxfId="157" priority="194">
      <formula>OR(IF(Q43&lt;R43,TRUE),IF(AND(R43="",Q43&lt;&gt;""),TRUE))</formula>
    </cfRule>
    <cfRule type="expression" dxfId="156" priority="195">
      <formula>IF(Q43&gt;=R43,IF(Q43="",FALSE,TRUE))</formula>
    </cfRule>
  </conditionalFormatting>
  <conditionalFormatting sqref="BE43:BE55">
    <cfRule type="expression" dxfId="155" priority="172">
      <formula>OR(IF(BE43&lt;BF43,TRUE),IF(AND(BF43="",BE43&lt;&gt;""),TRUE))</formula>
    </cfRule>
    <cfRule type="expression" dxfId="154" priority="173">
      <formula>IF(BE43&gt;=BF43,IF(BE43="",FALSE,TRUE))</formula>
    </cfRule>
  </conditionalFormatting>
  <conditionalFormatting sqref="BG43:BG55">
    <cfRule type="expression" dxfId="153" priority="170">
      <formula>OR(IF(BG43&lt;BH43,TRUE),IF(AND(BH43="",BG43&lt;&gt;""),TRUE))</formula>
    </cfRule>
    <cfRule type="expression" dxfId="152" priority="171">
      <formula>IF(BG43&gt;=BH43,IF(BG43="",FALSE,TRUE))</formula>
    </cfRule>
  </conditionalFormatting>
  <conditionalFormatting sqref="V43:V55">
    <cfRule type="expression" dxfId="151" priority="192">
      <formula>OR(IF(V43&lt;W43,TRUE),IF(AND(W43="",V43&lt;&gt;""),TRUE))</formula>
    </cfRule>
    <cfRule type="expression" dxfId="150" priority="193">
      <formula>IF(V43&gt;=W43,IF(V43="",FALSE,TRUE))</formula>
    </cfRule>
  </conditionalFormatting>
  <conditionalFormatting sqref="X43:X55">
    <cfRule type="expression" dxfId="149" priority="190">
      <formula>OR(IF(X43&lt;Y43,TRUE),IF(AND(Y43="",X43&lt;&gt;""),TRUE))</formula>
    </cfRule>
    <cfRule type="expression" dxfId="148" priority="191">
      <formula>IF(X43&gt;=Y43,IF(X43="",FALSE,TRUE))</formula>
    </cfRule>
  </conditionalFormatting>
  <conditionalFormatting sqref="AC43:AC55">
    <cfRule type="expression" dxfId="147" priority="188">
      <formula>OR(IF(AC43&lt;AD43,TRUE),IF(AND(AD43="",AC43&lt;&gt;""),TRUE))</formula>
    </cfRule>
    <cfRule type="expression" dxfId="146" priority="189">
      <formula>IF(AC43&gt;=AD43,IF(AC43="",FALSE,TRUE))</formula>
    </cfRule>
  </conditionalFormatting>
  <conditionalFormatting sqref="AE43:AE55">
    <cfRule type="expression" dxfId="145" priority="186">
      <formula>OR(IF(AE43&lt;AF43,TRUE),IF(AND(AF43="",AE43&lt;&gt;""),TRUE))</formula>
    </cfRule>
    <cfRule type="expression" dxfId="144" priority="187">
      <formula>IF(AE43&gt;=AF43,IF(AE43="",FALSE,TRUE))</formula>
    </cfRule>
  </conditionalFormatting>
  <conditionalFormatting sqref="AJ43:AJ55">
    <cfRule type="expression" dxfId="143" priority="184">
      <formula>OR(IF(AJ43&lt;AK43,TRUE),IF(AND(AK43="",AJ43&lt;&gt;""),TRUE))</formula>
    </cfRule>
    <cfRule type="expression" dxfId="142" priority="185">
      <formula>IF(AJ43&gt;=AK43,IF(AJ43="",FALSE,TRUE))</formula>
    </cfRule>
  </conditionalFormatting>
  <conditionalFormatting sqref="AL43:AL55">
    <cfRule type="expression" dxfId="141" priority="182">
      <formula>OR(IF(AL43&lt;AM43,TRUE),IF(AND(AM43="",AL43&lt;&gt;""),TRUE))</formula>
    </cfRule>
    <cfRule type="expression" dxfId="140" priority="183">
      <formula>IF(AL43&gt;=AM43,IF(AL43="",FALSE,TRUE))</formula>
    </cfRule>
  </conditionalFormatting>
  <conditionalFormatting sqref="AX43:AX55">
    <cfRule type="expression" dxfId="139" priority="176">
      <formula>OR(IF(AX43&lt;AY43,TRUE),IF(AND(AY43="",AX43&lt;&gt;""),TRUE))</formula>
    </cfRule>
    <cfRule type="expression" dxfId="138" priority="177">
      <formula>IF(AX43&gt;=AY43,IF(AX43="",FALSE,TRUE))</formula>
    </cfRule>
  </conditionalFormatting>
  <conditionalFormatting sqref="AZ43:AZ55">
    <cfRule type="expression" dxfId="137" priority="174">
      <formula>OR(IF(AZ43&lt;BA43,TRUE),IF(AND(BA43="",AZ43&lt;&gt;""),TRUE))</formula>
    </cfRule>
    <cfRule type="expression" dxfId="136" priority="175">
      <formula>IF(AZ43&gt;=BA43,IF(AZ43="",FALSE,TRUE))</formula>
    </cfRule>
  </conditionalFormatting>
  <conditionalFormatting sqref="J16:K27">
    <cfRule type="colorScale" priority="256">
      <colorScale>
        <cfvo type="percent" val="0"/>
        <cfvo type="percent" val="100"/>
        <color rgb="FFFF231B"/>
        <color rgb="FF10FF07"/>
      </colorScale>
    </cfRule>
  </conditionalFormatting>
  <conditionalFormatting sqref="O16:O27">
    <cfRule type="expression" dxfId="135" priority="254">
      <formula>OR(IF(O16&lt;P16,TRUE),IF(AND(P16="",O16&lt;&gt;""),TRUE))</formula>
    </cfRule>
    <cfRule type="expression" dxfId="134" priority="255">
      <formula>IF(O16&gt;=P16,IF(O16="",FALSE,TRUE))</formula>
    </cfRule>
  </conditionalFormatting>
  <conditionalFormatting sqref="Q16:Q27">
    <cfRule type="expression" dxfId="133" priority="252">
      <formula>OR(IF(Q16&lt;R16,TRUE),IF(AND(R16="",Q16&lt;&gt;""),TRUE))</formula>
    </cfRule>
    <cfRule type="expression" dxfId="132" priority="253">
      <formula>IF(Q16&gt;=R16,IF(Q16="",FALSE,TRUE))</formula>
    </cfRule>
  </conditionalFormatting>
  <conditionalFormatting sqref="BE16:BE27">
    <cfRule type="expression" dxfId="131" priority="230">
      <formula>OR(IF(BE16&lt;BF16,TRUE),IF(AND(BF16="",BE16&lt;&gt;""),TRUE))</formula>
    </cfRule>
    <cfRule type="expression" dxfId="130" priority="231">
      <formula>IF(BE16&gt;=BF16,IF(BE16="",FALSE,TRUE))</formula>
    </cfRule>
  </conditionalFormatting>
  <conditionalFormatting sqref="BG16:BG27">
    <cfRule type="expression" dxfId="129" priority="228">
      <formula>OR(IF(BG16&lt;BH16,TRUE),IF(AND(BH16="",BG16&lt;&gt;""),TRUE))</formula>
    </cfRule>
    <cfRule type="expression" dxfId="128" priority="229">
      <formula>IF(BG16&gt;=BH16,IF(BG16="",FALSE,TRUE))</formula>
    </cfRule>
  </conditionalFormatting>
  <conditionalFormatting sqref="V16:V27">
    <cfRule type="expression" dxfId="127" priority="250">
      <formula>OR(IF(V16&lt;W16,TRUE),IF(AND(W16="",V16&lt;&gt;""),TRUE))</formula>
    </cfRule>
    <cfRule type="expression" dxfId="126" priority="251">
      <formula>IF(V16&gt;=W16,IF(V16="",FALSE,TRUE))</formula>
    </cfRule>
  </conditionalFormatting>
  <conditionalFormatting sqref="X16:X27">
    <cfRule type="expression" dxfId="125" priority="248">
      <formula>OR(IF(X16&lt;Y16,TRUE),IF(AND(Y16="",X16&lt;&gt;""),TRUE))</formula>
    </cfRule>
    <cfRule type="expression" dxfId="124" priority="249">
      <formula>IF(X16&gt;=Y16,IF(X16="",FALSE,TRUE))</formula>
    </cfRule>
  </conditionalFormatting>
  <conditionalFormatting sqref="AC16:AC27">
    <cfRule type="expression" dxfId="123" priority="246">
      <formula>OR(IF(AC16&lt;AD16,TRUE),IF(AND(AD16="",AC16&lt;&gt;""),TRUE))</formula>
    </cfRule>
    <cfRule type="expression" dxfId="122" priority="247">
      <formula>IF(AC16&gt;=AD16,IF(AC16="",FALSE,TRUE))</formula>
    </cfRule>
  </conditionalFormatting>
  <conditionalFormatting sqref="AE16:AE27">
    <cfRule type="expression" dxfId="121" priority="244">
      <formula>OR(IF(AE16&lt;AF16,TRUE),IF(AND(AF16="",AE16&lt;&gt;""),TRUE))</formula>
    </cfRule>
    <cfRule type="expression" dxfId="120" priority="245">
      <formula>IF(AE16&gt;=AF16,IF(AE16="",FALSE,TRUE))</formula>
    </cfRule>
  </conditionalFormatting>
  <conditionalFormatting sqref="AJ16:AJ27">
    <cfRule type="expression" dxfId="119" priority="242">
      <formula>OR(IF(AJ16&lt;AK16,TRUE),IF(AND(AK16="",AJ16&lt;&gt;""),TRUE))</formula>
    </cfRule>
    <cfRule type="expression" dxfId="118" priority="243">
      <formula>IF(AJ16&gt;=AK16,IF(AJ16="",FALSE,TRUE))</formula>
    </cfRule>
  </conditionalFormatting>
  <conditionalFormatting sqref="AL16:AL27">
    <cfRule type="expression" dxfId="117" priority="240">
      <formula>OR(IF(AL16&lt;AM16,TRUE),IF(AND(AM16="",AL16&lt;&gt;""),TRUE))</formula>
    </cfRule>
    <cfRule type="expression" dxfId="116" priority="241">
      <formula>IF(AL16&gt;=AM16,IF(AL16="",FALSE,TRUE))</formula>
    </cfRule>
  </conditionalFormatting>
  <conditionalFormatting sqref="AX16:AX27">
    <cfRule type="expression" dxfId="115" priority="234">
      <formula>OR(IF(AX16&lt;AY16,TRUE),IF(AND(AY16="",AX16&lt;&gt;""),TRUE))</formula>
    </cfRule>
    <cfRule type="expression" dxfId="114" priority="235">
      <formula>IF(AX16&gt;=AY16,IF(AX16="",FALSE,TRUE))</formula>
    </cfRule>
  </conditionalFormatting>
  <conditionalFormatting sqref="AZ16:AZ27">
    <cfRule type="expression" dxfId="113" priority="232">
      <formula>OR(IF(AZ16&lt;BA16,TRUE),IF(AND(BA16="",AZ16&lt;&gt;""),TRUE))</formula>
    </cfRule>
    <cfRule type="expression" dxfId="112" priority="233">
      <formula>IF(AZ16&gt;=BA16,IF(AZ16="",FALSE,TRUE))</formula>
    </cfRule>
  </conditionalFormatting>
  <conditionalFormatting sqref="J29:K41">
    <cfRule type="colorScale" priority="227">
      <colorScale>
        <cfvo type="percent" val="0"/>
        <cfvo type="percent" val="100"/>
        <color rgb="FFFF231B"/>
        <color rgb="FF10FF07"/>
      </colorScale>
    </cfRule>
  </conditionalFormatting>
  <conditionalFormatting sqref="O29:O41">
    <cfRule type="expression" dxfId="111" priority="225">
      <formula>OR(IF(O29&lt;P29,TRUE),IF(AND(P29="",O29&lt;&gt;""),TRUE))</formula>
    </cfRule>
    <cfRule type="expression" dxfId="110" priority="226">
      <formula>IF(O29&gt;=P29,IF(O29="",FALSE,TRUE))</formula>
    </cfRule>
  </conditionalFormatting>
  <conditionalFormatting sqref="Q29:Q41">
    <cfRule type="expression" dxfId="109" priority="223">
      <formula>OR(IF(Q29&lt;R29,TRUE),IF(AND(R29="",Q29&lt;&gt;""),TRUE))</formula>
    </cfRule>
    <cfRule type="expression" dxfId="108" priority="224">
      <formula>IF(Q29&gt;=R29,IF(Q29="",FALSE,TRUE))</formula>
    </cfRule>
  </conditionalFormatting>
  <conditionalFormatting sqref="V29:V41">
    <cfRule type="expression" dxfId="107" priority="221">
      <formula>OR(IF(V29&lt;W29,TRUE),IF(AND(W29="",V29&lt;&gt;""),TRUE))</formula>
    </cfRule>
    <cfRule type="expression" dxfId="106" priority="222">
      <formula>IF(V29&gt;=W29,IF(V29="",FALSE,TRUE))</formula>
    </cfRule>
  </conditionalFormatting>
  <conditionalFormatting sqref="AL29:AL41">
    <cfRule type="expression" dxfId="105" priority="211">
      <formula>OR(IF(AL29&lt;AM29,TRUE),IF(AND(AM29="",AL29&lt;&gt;""),TRUE))</formula>
    </cfRule>
    <cfRule type="expression" dxfId="104" priority="212">
      <formula>IF(AL29&gt;=AM29,IF(AL29="",FALSE,TRUE))</formula>
    </cfRule>
  </conditionalFormatting>
  <conditionalFormatting sqref="J43:K55">
    <cfRule type="colorScale" priority="198">
      <colorScale>
        <cfvo type="percent" val="0"/>
        <cfvo type="percent" val="100"/>
        <color rgb="FFFF231B"/>
        <color rgb="FF10FF07"/>
      </colorScale>
    </cfRule>
  </conditionalFormatting>
  <conditionalFormatting sqref="CN43:CN55">
    <cfRule type="expression" dxfId="103" priority="27">
      <formula>OR(IF(CN43&lt;CO43,TRUE),IF(AND(CO43="",CN43&lt;&gt;""),TRUE))</formula>
    </cfRule>
    <cfRule type="expression" dxfId="102" priority="28">
      <formula>IF(CN43&gt;=CO43,IF(CN43="",FALSE,TRUE))</formula>
    </cfRule>
  </conditionalFormatting>
  <conditionalFormatting sqref="CP43:CP55">
    <cfRule type="expression" dxfId="101" priority="25">
      <formula>OR(IF(CP43&lt;CQ43,TRUE),IF(AND(CQ43="",CP43&lt;&gt;""),TRUE))</formula>
    </cfRule>
    <cfRule type="expression" dxfId="100" priority="26">
      <formula>IF(CP43&gt;=CQ43,IF(CP43="",FALSE,TRUE))</formula>
    </cfRule>
  </conditionalFormatting>
  <conditionalFormatting sqref="AQ29:AQ41">
    <cfRule type="expression" dxfId="99" priority="11">
      <formula>OR(IF(AQ29&lt;AR29,TRUE),IF(AND(AR29="",AQ29&lt;&gt;""),TRUE))</formula>
    </cfRule>
    <cfRule type="expression" dxfId="98" priority="12">
      <formula>IF(AQ29&gt;=AR29,IF(AQ29="",FALSE,TRUE))</formula>
    </cfRule>
  </conditionalFormatting>
  <conditionalFormatting sqref="AS29:AS41">
    <cfRule type="expression" dxfId="97" priority="9">
      <formula>OR(IF(AS29&lt;AT29,TRUE),IF(AND(AT29="",AS29&lt;&gt;""),TRUE))</formula>
    </cfRule>
    <cfRule type="expression" dxfId="96" priority="10">
      <formula>IF(AS29&gt;=AT29,IF(AS29="",FALSE,TRUE))</formula>
    </cfRule>
  </conditionalFormatting>
  <conditionalFormatting sqref="AQ16:AQ27">
    <cfRule type="expression" dxfId="87" priority="15">
      <formula>OR(IF(AQ16&lt;AR16,TRUE),IF(AND(AR16="",AQ16&lt;&gt;""),TRUE))</formula>
    </cfRule>
    <cfRule type="expression" dxfId="86" priority="16">
      <formula>IF(AQ16&gt;=AR16,IF(AQ16="",FALSE,TRUE))</formula>
    </cfRule>
  </conditionalFormatting>
  <conditionalFormatting sqref="AS16:AS27">
    <cfRule type="expression" dxfId="85" priority="13">
      <formula>OR(IF(AS16&lt;AT16,TRUE),IF(AND(AT16="",AS16&lt;&gt;""),TRUE))</formula>
    </cfRule>
    <cfRule type="expression" dxfId="84" priority="14">
      <formula>IF(AS16&gt;=AT16,IF(AS16="",FALSE,TRUE))</formula>
    </cfRule>
  </conditionalFormatting>
  <conditionalFormatting sqref="AQ43:AQ55">
    <cfRule type="expression" dxfId="83" priority="7">
      <formula>OR(IF(AQ43&lt;AR43,TRUE),IF(AND(AR43="",AQ43&lt;&gt;""),TRUE))</formula>
    </cfRule>
    <cfRule type="expression" dxfId="82" priority="8">
      <formula>IF(AQ43&gt;=AR43,IF(AQ43="",FALSE,TRUE))</formula>
    </cfRule>
  </conditionalFormatting>
  <conditionalFormatting sqref="AS43:AS55">
    <cfRule type="expression" dxfId="81" priority="5">
      <formula>OR(IF(AS43&lt;AT43,TRUE),IF(AND(AT43="",AS43&lt;&gt;""),TRUE))</formula>
    </cfRule>
    <cfRule type="expression" dxfId="80" priority="6">
      <formula>IF(AS43&gt;=AT43,IF(AS43="",FALSE,TRUE))</formula>
    </cfRule>
  </conditionalFormatting>
  <conditionalFormatting sqref="BL29:BL41">
    <cfRule type="expression" dxfId="79" priority="131">
      <formula>OR(IF(BL29&lt;BM29,TRUE),IF(AND(BM29="",BL29&lt;&gt;""),TRUE))</formula>
    </cfRule>
    <cfRule type="expression" dxfId="78" priority="132">
      <formula>IF(BL29&gt;=BM29,IF(BL29="",FALSE,TRUE))</formula>
    </cfRule>
  </conditionalFormatting>
  <conditionalFormatting sqref="BN29:BN41">
    <cfRule type="expression" dxfId="77" priority="129">
      <formula>OR(IF(BN29&lt;BO29,TRUE),IF(AND(BO29="",BN29&lt;&gt;""),TRUE))</formula>
    </cfRule>
    <cfRule type="expression" dxfId="76" priority="130">
      <formula>IF(BN29&gt;=BO29,IF(BN29="",FALSE,TRUE))</formula>
    </cfRule>
  </conditionalFormatting>
  <conditionalFormatting sqref="BS43:BS55">
    <cfRule type="expression" dxfId="67" priority="107">
      <formula>OR(IF(BS43&lt;BT43,TRUE),IF(AND(BT43="",BS43&lt;&gt;""),TRUE))</formula>
    </cfRule>
    <cfRule type="expression" dxfId="66" priority="108">
      <formula>IF(BS43&gt;=BT43,IF(BS43="",FALSE,TRUE))</formula>
    </cfRule>
  </conditionalFormatting>
  <conditionalFormatting sqref="BU43:BU55">
    <cfRule type="expression" dxfId="65" priority="105">
      <formula>OR(IF(BU43&lt;BV43,TRUE),IF(AND(BV43="",BU43&lt;&gt;""),TRUE))</formula>
    </cfRule>
    <cfRule type="expression" dxfId="64" priority="106">
      <formula>IF(BU43&gt;=BV43,IF(BU43="",FALSE,TRUE))</formula>
    </cfRule>
  </conditionalFormatting>
  <conditionalFormatting sqref="BS16:BS27">
    <cfRule type="expression" dxfId="63" priority="115">
      <formula>OR(IF(BS16&lt;BT16,TRUE),IF(AND(BT16="",BS16&lt;&gt;""),TRUE))</formula>
    </cfRule>
    <cfRule type="expression" dxfId="62" priority="116">
      <formula>IF(BS16&gt;=BT16,IF(BS16="",FALSE,TRUE))</formula>
    </cfRule>
  </conditionalFormatting>
  <conditionalFormatting sqref="BU16:BU27">
    <cfRule type="expression" dxfId="61" priority="113">
      <formula>OR(IF(BU16&lt;BV16,TRUE),IF(AND(BV16="",BU16&lt;&gt;""),TRUE))</formula>
    </cfRule>
    <cfRule type="expression" dxfId="60" priority="114">
      <formula>IF(BU16&gt;=BV16,IF(BU16="",FALSE,TRUE))</formula>
    </cfRule>
  </conditionalFormatting>
  <conditionalFormatting sqref="BS29:BS41">
    <cfRule type="expression" dxfId="59" priority="111">
      <formula>OR(IF(BS29&lt;BT29,TRUE),IF(AND(BT29="",BS29&lt;&gt;""),TRUE))</formula>
    </cfRule>
    <cfRule type="expression" dxfId="58" priority="112">
      <formula>IF(BS29&gt;=BT29,IF(BS29="",FALSE,TRUE))</formula>
    </cfRule>
  </conditionalFormatting>
  <conditionalFormatting sqref="BU29:BU41">
    <cfRule type="expression" dxfId="57" priority="109">
      <formula>OR(IF(BU29&lt;BV29,TRUE),IF(AND(BV29="",BU29&lt;&gt;""),TRUE))</formula>
    </cfRule>
    <cfRule type="expression" dxfId="56" priority="110">
      <formula>IF(BU29&gt;=BV29,IF(BU29="",FALSE,TRUE))</formula>
    </cfRule>
  </conditionalFormatting>
  <conditionalFormatting sqref="BZ43:BZ55">
    <cfRule type="expression" dxfId="51" priority="87">
      <formula>OR(IF(BZ43&lt;CA43,TRUE),IF(AND(CA43="",BZ43&lt;&gt;""),TRUE))</formula>
    </cfRule>
    <cfRule type="expression" dxfId="50" priority="88">
      <formula>IF(BZ43&gt;=CA43,IF(BZ43="",FALSE,TRUE))</formula>
    </cfRule>
  </conditionalFormatting>
  <conditionalFormatting sqref="CB43:CB55">
    <cfRule type="expression" dxfId="49" priority="85">
      <formula>OR(IF(CB43&lt;CC43,TRUE),IF(AND(CC43="",CB43&lt;&gt;""),TRUE))</formula>
    </cfRule>
    <cfRule type="expression" dxfId="48" priority="86">
      <formula>IF(CB43&gt;=CC43,IF(CB43="",FALSE,TRUE))</formula>
    </cfRule>
  </conditionalFormatting>
  <conditionalFormatting sqref="BZ16:BZ27">
    <cfRule type="expression" dxfId="47" priority="95">
      <formula>OR(IF(BZ16&lt;CA16,TRUE),IF(AND(CA16="",BZ16&lt;&gt;""),TRUE))</formula>
    </cfRule>
    <cfRule type="expression" dxfId="46" priority="96">
      <formula>IF(BZ16&gt;=CA16,IF(BZ16="",FALSE,TRUE))</formula>
    </cfRule>
  </conditionalFormatting>
  <conditionalFormatting sqref="CB16:CB27">
    <cfRule type="expression" dxfId="45" priority="93">
      <formula>OR(IF(CB16&lt;CC16,TRUE),IF(AND(CC16="",CB16&lt;&gt;""),TRUE))</formula>
    </cfRule>
    <cfRule type="expression" dxfId="44" priority="94">
      <formula>IF(CB16&gt;=CC16,IF(CB16="",FALSE,TRUE))</formula>
    </cfRule>
  </conditionalFormatting>
  <conditionalFormatting sqref="BZ29:BZ41">
    <cfRule type="expression" dxfId="43" priority="91">
      <formula>OR(IF(BZ29&lt;CA29,TRUE),IF(AND(CA29="",BZ29&lt;&gt;""),TRUE))</formula>
    </cfRule>
    <cfRule type="expression" dxfId="42" priority="92">
      <formula>IF(BZ29&gt;=CA29,IF(BZ29="",FALSE,TRUE))</formula>
    </cfRule>
  </conditionalFormatting>
  <conditionalFormatting sqref="CB29:CB41">
    <cfRule type="expression" dxfId="41" priority="89">
      <formula>OR(IF(CB29&lt;CC29,TRUE),IF(AND(CC29="",CB29&lt;&gt;""),TRUE))</formula>
    </cfRule>
    <cfRule type="expression" dxfId="40" priority="90">
      <formula>IF(CB29&gt;=CC29,IF(CB29="",FALSE,TRUE))</formula>
    </cfRule>
  </conditionalFormatting>
  <conditionalFormatting sqref="CG43:CG55">
    <cfRule type="expression" dxfId="35" priority="67">
      <formula>OR(IF(CG43&lt;CH43,TRUE),IF(AND(CH43="",CG43&lt;&gt;""),TRUE))</formula>
    </cfRule>
    <cfRule type="expression" dxfId="34" priority="68">
      <formula>IF(CG43&gt;=CH43,IF(CG43="",FALSE,TRUE))</formula>
    </cfRule>
  </conditionalFormatting>
  <conditionalFormatting sqref="CI43:CI55">
    <cfRule type="expression" dxfId="33" priority="65">
      <formula>OR(IF(CI43&lt;CJ43,TRUE),IF(AND(CJ43="",CI43&lt;&gt;""),TRUE))</formula>
    </cfRule>
    <cfRule type="expression" dxfId="32" priority="66">
      <formula>IF(CI43&gt;=CJ43,IF(CI43="",FALSE,TRUE))</formula>
    </cfRule>
  </conditionalFormatting>
  <conditionalFormatting sqref="CG16:CG27">
    <cfRule type="expression" dxfId="31" priority="75">
      <formula>OR(IF(CG16&lt;CH16,TRUE),IF(AND(CH16="",CG16&lt;&gt;""),TRUE))</formula>
    </cfRule>
    <cfRule type="expression" dxfId="30" priority="76">
      <formula>IF(CG16&gt;=CH16,IF(CG16="",FALSE,TRUE))</formula>
    </cfRule>
  </conditionalFormatting>
  <conditionalFormatting sqref="CI16:CI27">
    <cfRule type="expression" dxfId="29" priority="73">
      <formula>OR(IF(CI16&lt;CJ16,TRUE),IF(AND(CJ16="",CI16&lt;&gt;""),TRUE))</formula>
    </cfRule>
    <cfRule type="expression" dxfId="28" priority="74">
      <formula>IF(CI16&gt;=CJ16,IF(CI16="",FALSE,TRUE))</formula>
    </cfRule>
  </conditionalFormatting>
  <conditionalFormatting sqref="CG29:CG41">
    <cfRule type="expression" dxfId="27" priority="71">
      <formula>OR(IF(CG29&lt;CH29,TRUE),IF(AND(CH29="",CG29&lt;&gt;""),TRUE))</formula>
    </cfRule>
    <cfRule type="expression" dxfId="26" priority="72">
      <formula>IF(CG29&gt;=CH29,IF(CG29="",FALSE,TRUE))</formula>
    </cfRule>
  </conditionalFormatting>
  <conditionalFormatting sqref="CI29:CI41">
    <cfRule type="expression" dxfId="25" priority="69">
      <formula>OR(IF(CI29&lt;CJ29,TRUE),IF(AND(CJ29="",CI29&lt;&gt;""),TRUE))</formula>
    </cfRule>
    <cfRule type="expression" dxfId="24" priority="70">
      <formula>IF(CI29&gt;=CJ29,IF(CI29="",FALSE,TRUE))</formula>
    </cfRule>
  </conditionalFormatting>
  <conditionalFormatting sqref="CN16:CN27">
    <cfRule type="expression" dxfId="19" priority="35">
      <formula>OR(IF(CN16&lt;CO16,TRUE),IF(AND(CO16="",CN16&lt;&gt;""),TRUE))</formula>
    </cfRule>
    <cfRule type="expression" dxfId="18" priority="36">
      <formula>IF(CN16&gt;=CO16,IF(CN16="",FALSE,TRUE))</formula>
    </cfRule>
  </conditionalFormatting>
  <conditionalFormatting sqref="CP16:CP27">
    <cfRule type="expression" dxfId="17" priority="33">
      <formula>OR(IF(CP16&lt;CQ16,TRUE),IF(AND(CQ16="",CP16&lt;&gt;""),TRUE))</formula>
    </cfRule>
    <cfRule type="expression" dxfId="16" priority="34">
      <formula>IF(CP16&gt;=CQ16,IF(CP16="",FALSE,TRUE))</formula>
    </cfRule>
  </conditionalFormatting>
  <conditionalFormatting sqref="CN29:CN41">
    <cfRule type="expression" dxfId="15" priority="31">
      <formula>OR(IF(CN29&lt;CO29,TRUE),IF(AND(CO29="",CN29&lt;&gt;""),TRUE))</formula>
    </cfRule>
    <cfRule type="expression" dxfId="14" priority="32">
      <formula>IF(CN29&gt;=CO29,IF(CN29="",FALSE,TRUE))</formula>
    </cfRule>
  </conditionalFormatting>
  <conditionalFormatting sqref="CP29:CP41">
    <cfRule type="expression" dxfId="13" priority="29">
      <formula>OR(IF(CP29&lt;CQ29,TRUE),IF(AND(CQ29="",CP29&lt;&gt;""),TRUE))</formula>
    </cfRule>
    <cfRule type="expression" dxfId="12" priority="30">
      <formula>IF(CP29&gt;=CQ29,IF(CP29="",FALSE,TRUE))</formula>
    </cfRule>
  </conditionalFormatting>
  <conditionalFormatting sqref="J5:K13">
    <cfRule type="colorScale" priority="468">
      <colorScale>
        <cfvo type="percent" val="0"/>
        <cfvo type="percent" val="100"/>
        <color rgb="FFFF231B"/>
        <color rgb="FF10FF07"/>
      </colorScale>
    </cfRule>
  </conditionalFormatting>
  <dataValidations count="1">
    <dataValidation type="list" allowBlank="1" showInputMessage="1" showErrorMessage="1" sqref="O5:R13 V5:Y13 AC5:AF13 AJ5:AM13 CN5:CQ13 AX5:BA13 BE5:BH13 V16:Y27 AC16:AF27 AJ16:AM27 CN16:CQ27 AX16:BA27 BE16:BH27 O16:R27 BE44:BH55 O30:R41 V30:Y41 AC30:AF41 AJ30:AM41 CN30:CQ41 AX30:BA41 BE30:BH41 O44:R55 V44:Y55 AC44:AF55 AJ44:AM55 CN44:CQ55 AX44:BA55 BL5:BO13 BL16:BO27 BL30:BO41 BL44:BO55 BS5:BV13 BS16:BV27 BS30:BV41 BS44:BV55 BZ5:CC13 BZ16:CC27 BZ30:CC41 BZ44:CC55 CG5:CJ13 CG16:CJ27 CG30:CJ41 CG44:CJ55 AQ5:AT13 AQ16:AT27 AQ30:AT41 AQ44:AT55"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RowHeight="15.6" x14ac:dyDescent="0.3"/>
  <cols>
    <col min="1" max="1" width="16.796875" style="9" customWidth="1"/>
    <col min="2" max="2" width="19.19921875" style="9" customWidth="1"/>
    <col min="3" max="3" width="18.19921875" style="9" customWidth="1"/>
    <col min="4" max="4" width="19.5" style="9" customWidth="1"/>
    <col min="8" max="8" width="15.19921875" customWidth="1"/>
    <col min="10" max="10" width="42" customWidth="1"/>
    <col min="11" max="11" width="28.5" customWidth="1"/>
  </cols>
  <sheetData>
    <row r="1" spans="1:11" ht="31.2" x14ac:dyDescent="0.3">
      <c r="A1" s="9" t="s">
        <v>45</v>
      </c>
      <c r="B1" s="15" t="s">
        <v>42</v>
      </c>
      <c r="C1" s="15" t="s">
        <v>43</v>
      </c>
      <c r="D1" s="15" t="s">
        <v>44</v>
      </c>
      <c r="E1" s="1" t="s">
        <v>46</v>
      </c>
      <c r="F1" s="1" t="s">
        <v>47</v>
      </c>
      <c r="G1" s="1" t="s">
        <v>48</v>
      </c>
      <c r="H1" s="1" t="s">
        <v>49</v>
      </c>
      <c r="I1" s="1" t="s">
        <v>50</v>
      </c>
      <c r="J1" s="1" t="s">
        <v>51</v>
      </c>
      <c r="K1" s="1" t="s">
        <v>52</v>
      </c>
    </row>
    <row r="2" spans="1:11" x14ac:dyDescent="0.3">
      <c r="A2" s="14">
        <v>44118</v>
      </c>
      <c r="D2" s="16">
        <v>1</v>
      </c>
    </row>
    <row r="3" spans="1:11" x14ac:dyDescent="0.3">
      <c r="A3" s="14">
        <v>44119</v>
      </c>
    </row>
    <row r="4" spans="1:11" x14ac:dyDescent="0.3">
      <c r="A4" s="14">
        <v>44120</v>
      </c>
    </row>
    <row r="5" spans="1:11" x14ac:dyDescent="0.3">
      <c r="A5" s="14">
        <v>44121</v>
      </c>
    </row>
    <row r="6" spans="1:11" x14ac:dyDescent="0.3">
      <c r="A6" s="14">
        <v>44122</v>
      </c>
    </row>
    <row r="7" spans="1:11" x14ac:dyDescent="0.3">
      <c r="A7" s="14">
        <v>44123</v>
      </c>
    </row>
    <row r="8" spans="1:11" x14ac:dyDescent="0.3">
      <c r="A8" s="14">
        <v>44124</v>
      </c>
    </row>
    <row r="9" spans="1:11" x14ac:dyDescent="0.3">
      <c r="A9" s="14">
        <v>44125</v>
      </c>
    </row>
    <row r="10" spans="1:11" x14ac:dyDescent="0.3">
      <c r="A10" s="14">
        <v>44126</v>
      </c>
    </row>
    <row r="11" spans="1:11" x14ac:dyDescent="0.3">
      <c r="A11" s="14">
        <v>44127</v>
      </c>
    </row>
    <row r="12" spans="1:11" x14ac:dyDescent="0.3">
      <c r="A12" s="14">
        <v>44128</v>
      </c>
    </row>
    <row r="13" spans="1:11" x14ac:dyDescent="0.3">
      <c r="A13" s="14">
        <v>44129</v>
      </c>
    </row>
    <row r="14" spans="1:11" x14ac:dyDescent="0.3">
      <c r="A14" s="14">
        <v>44130</v>
      </c>
    </row>
    <row r="15" spans="1:11" x14ac:dyDescent="0.3">
      <c r="A15" s="14">
        <v>44131</v>
      </c>
    </row>
    <row r="16" spans="1:11" x14ac:dyDescent="0.3">
      <c r="A16" s="14">
        <v>44132</v>
      </c>
    </row>
    <row r="17" spans="1:1" x14ac:dyDescent="0.3">
      <c r="A17" s="14">
        <v>44133</v>
      </c>
    </row>
    <row r="18" spans="1:1" x14ac:dyDescent="0.3">
      <c r="A18" s="14">
        <v>44134</v>
      </c>
    </row>
    <row r="19" spans="1:1" x14ac:dyDescent="0.3">
      <c r="A19" s="14">
        <v>44135</v>
      </c>
    </row>
    <row r="20" spans="1:1" x14ac:dyDescent="0.3">
      <c r="A20" s="14">
        <v>44136</v>
      </c>
    </row>
    <row r="21" spans="1:1" x14ac:dyDescent="0.3">
      <c r="A21" s="14">
        <v>44137</v>
      </c>
    </row>
    <row r="22" spans="1:1" x14ac:dyDescent="0.3">
      <c r="A22" s="14">
        <v>44138</v>
      </c>
    </row>
    <row r="23" spans="1:1" x14ac:dyDescent="0.3">
      <c r="A23" s="14">
        <v>44139</v>
      </c>
    </row>
    <row r="24" spans="1:1" x14ac:dyDescent="0.3">
      <c r="A24" s="14">
        <v>44140</v>
      </c>
    </row>
    <row r="25" spans="1:1" x14ac:dyDescent="0.3">
      <c r="A25" s="14">
        <v>44141</v>
      </c>
    </row>
    <row r="26" spans="1:1" x14ac:dyDescent="0.3">
      <c r="A26" s="14">
        <v>44142</v>
      </c>
    </row>
    <row r="27" spans="1:1" x14ac:dyDescent="0.3">
      <c r="A27" s="14">
        <v>44143</v>
      </c>
    </row>
    <row r="28" spans="1:1" x14ac:dyDescent="0.3">
      <c r="A28" s="14">
        <v>44144</v>
      </c>
    </row>
    <row r="29" spans="1:1" x14ac:dyDescent="0.3">
      <c r="A29" s="14">
        <v>44145</v>
      </c>
    </row>
    <row r="30" spans="1:1" x14ac:dyDescent="0.3">
      <c r="A30" s="14">
        <v>44146</v>
      </c>
    </row>
    <row r="31" spans="1:1" x14ac:dyDescent="0.3">
      <c r="A31" s="14">
        <v>44147</v>
      </c>
    </row>
    <row r="32" spans="1:1" x14ac:dyDescent="0.3">
      <c r="A32" s="14">
        <v>44148</v>
      </c>
    </row>
    <row r="33" spans="1:1" x14ac:dyDescent="0.3">
      <c r="A33" s="14">
        <v>44149</v>
      </c>
    </row>
    <row r="34" spans="1:1" x14ac:dyDescent="0.3">
      <c r="A34" s="14">
        <v>44150</v>
      </c>
    </row>
    <row r="35" spans="1:1" x14ac:dyDescent="0.3">
      <c r="A35" s="14">
        <v>44151</v>
      </c>
    </row>
    <row r="36" spans="1:1" x14ac:dyDescent="0.3">
      <c r="A36" s="14">
        <v>44152</v>
      </c>
    </row>
    <row r="37" spans="1:1" x14ac:dyDescent="0.3">
      <c r="A37" s="14">
        <v>44153</v>
      </c>
    </row>
    <row r="38" spans="1:1" x14ac:dyDescent="0.3">
      <c r="A38" s="14">
        <v>44154</v>
      </c>
    </row>
    <row r="39" spans="1:1" x14ac:dyDescent="0.3">
      <c r="A39" s="14">
        <v>44155</v>
      </c>
    </row>
    <row r="40" spans="1:1" x14ac:dyDescent="0.3">
      <c r="A40" s="14">
        <v>44156</v>
      </c>
    </row>
    <row r="41" spans="1:1" x14ac:dyDescent="0.3">
      <c r="A41" s="14">
        <v>44157</v>
      </c>
    </row>
    <row r="42" spans="1:1" x14ac:dyDescent="0.3">
      <c r="A42" s="14">
        <v>44158</v>
      </c>
    </row>
    <row r="43" spans="1:1" x14ac:dyDescent="0.3">
      <c r="A43" s="14">
        <v>44159</v>
      </c>
    </row>
    <row r="44" spans="1:1" x14ac:dyDescent="0.3">
      <c r="A44" s="14">
        <v>44160</v>
      </c>
    </row>
    <row r="45" spans="1:1" x14ac:dyDescent="0.3">
      <c r="A45" s="14">
        <v>44161</v>
      </c>
    </row>
    <row r="46" spans="1:1" x14ac:dyDescent="0.3">
      <c r="A46" s="14">
        <v>44162</v>
      </c>
    </row>
  </sheetData>
  <conditionalFormatting sqref="B2:B46">
    <cfRule type="cellIs" dxfId="11" priority="14" operator="equal">
      <formula>"Ja"</formula>
    </cfRule>
    <cfRule type="cellIs" dxfId="10" priority="15" operator="equal">
      <formula>"Nein"</formula>
    </cfRule>
  </conditionalFormatting>
  <conditionalFormatting sqref="D2">
    <cfRule type="cellIs" dxfId="9" priority="6" operator="equal">
      <formula>1</formula>
    </cfRule>
    <cfRule type="cellIs" dxfId="8" priority="7" operator="equal">
      <formula>0.8</formula>
    </cfRule>
    <cfRule type="cellIs" dxfId="7" priority="8" operator="equal">
      <formula>0.6</formula>
    </cfRule>
    <cfRule type="cellIs" dxfId="6" priority="9" operator="equal">
      <formula>0.4</formula>
    </cfRule>
    <cfRule type="cellIs" dxfId="5" priority="10" operator="equal">
      <formula>0.2</formula>
    </cfRule>
    <cfRule type="cellIs" dxfId="4" priority="11" operator="equal">
      <formula>0</formula>
    </cfRule>
  </conditionalFormatting>
  <conditionalFormatting sqref="B2:B46">
    <cfRule type="cellIs" dxfId="3" priority="4" operator="equal">
      <formula>"Ja"</formula>
    </cfRule>
  </conditionalFormatting>
  <conditionalFormatting sqref="C2:C46">
    <cfRule type="cellIs" dxfId="2" priority="2" operator="equal">
      <formula>"Ja"</formula>
    </cfRule>
    <cfRule type="cellIs" dxfId="1" priority="3" operator="equal">
      <formula>"Nein"</formula>
    </cfRule>
  </conditionalFormatting>
  <conditionalFormatting sqref="C2:C46">
    <cfRule type="cellIs" dxfId="0"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Anleitung</vt:lpstr>
      <vt:lpstr>Semesterplan</vt:lpstr>
      <vt:lpstr>COMMITTMENT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Destay ...</cp:lastModifiedBy>
  <dcterms:created xsi:type="dcterms:W3CDTF">2020-04-19T13:33:28Z</dcterms:created>
  <dcterms:modified xsi:type="dcterms:W3CDTF">2021-10-10T13:51:05Z</dcterms:modified>
</cp:coreProperties>
</file>